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ITO\Documents\"/>
    </mc:Choice>
  </mc:AlternateContent>
  <xr:revisionPtr revIDLastSave="0" documentId="13_ncr:1_{DC80DDB0-9E0C-4636-8569-7C06C0F93DD8}" xr6:coauthVersionLast="37" xr6:coauthVersionMax="37" xr10:uidLastSave="{00000000-0000-0000-0000-000000000000}"/>
  <bookViews>
    <workbookView xWindow="0" yWindow="0" windowWidth="20490" windowHeight="7545" xr2:uid="{6AE54CC8-91A2-48B9-BD3F-7EDA41275CCF}"/>
  </bookViews>
  <sheets>
    <sheet name="Mayo 22.05.26" sheetId="1" r:id="rId1"/>
  </sheets>
  <definedNames>
    <definedName name="_xlnm._FilterDatabase" localSheetId="0" hidden="1">'Mayo 22.05.26'!$B$7:$J$221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4" i="1" l="1"/>
  <c r="I214" i="1"/>
  <c r="J214" i="1" s="1"/>
  <c r="H215" i="1"/>
  <c r="I215" i="1" s="1"/>
  <c r="J215" i="1" s="1"/>
  <c r="H216" i="1"/>
  <c r="I216" i="1"/>
  <c r="J216" i="1" s="1"/>
  <c r="H217" i="1"/>
  <c r="I217" i="1" s="1"/>
  <c r="J217" i="1" s="1"/>
  <c r="H218" i="1"/>
  <c r="I218" i="1"/>
  <c r="J218" i="1" s="1"/>
  <c r="H219" i="1"/>
  <c r="I219" i="1" s="1"/>
  <c r="J219" i="1" s="1"/>
  <c r="H220" i="1"/>
  <c r="I220" i="1"/>
  <c r="J220" i="1" s="1"/>
  <c r="H221" i="1"/>
  <c r="I221" i="1" s="1"/>
  <c r="J221" i="1" s="1"/>
  <c r="I213" i="1"/>
  <c r="J213" i="1" s="1"/>
  <c r="H213" i="1"/>
  <c r="H207" i="1"/>
  <c r="I207" i="1"/>
  <c r="J207" i="1" s="1"/>
  <c r="H208" i="1"/>
  <c r="I208" i="1" s="1"/>
  <c r="J208" i="1" s="1"/>
  <c r="H209" i="1"/>
  <c r="I209" i="1"/>
  <c r="J209" i="1" s="1"/>
  <c r="H210" i="1"/>
  <c r="I210" i="1" s="1"/>
  <c r="J210" i="1" s="1"/>
  <c r="H211" i="1"/>
  <c r="I211" i="1"/>
  <c r="J211" i="1" s="1"/>
  <c r="I206" i="1"/>
  <c r="J206" i="1" s="1"/>
  <c r="H206" i="1"/>
  <c r="H197" i="1"/>
  <c r="I197" i="1"/>
  <c r="J197" i="1" s="1"/>
  <c r="H198" i="1"/>
  <c r="I198" i="1" s="1"/>
  <c r="J198" i="1" s="1"/>
  <c r="H199" i="1"/>
  <c r="I199" i="1"/>
  <c r="J199" i="1" s="1"/>
  <c r="H200" i="1"/>
  <c r="I200" i="1" s="1"/>
  <c r="J200" i="1" s="1"/>
  <c r="H201" i="1"/>
  <c r="I201" i="1"/>
  <c r="J201" i="1" s="1"/>
  <c r="H202" i="1"/>
  <c r="I202" i="1" s="1"/>
  <c r="J202" i="1" s="1"/>
  <c r="H203" i="1"/>
  <c r="I203" i="1"/>
  <c r="J203" i="1" s="1"/>
  <c r="H204" i="1"/>
  <c r="I204" i="1" s="1"/>
  <c r="J204" i="1" s="1"/>
  <c r="I196" i="1"/>
  <c r="J196" i="1" s="1"/>
  <c r="H196" i="1"/>
  <c r="H186" i="1"/>
  <c r="I186" i="1"/>
  <c r="J186" i="1" s="1"/>
  <c r="H187" i="1"/>
  <c r="I187" i="1" s="1"/>
  <c r="J187" i="1" s="1"/>
  <c r="H188" i="1"/>
  <c r="I188" i="1"/>
  <c r="J188" i="1" s="1"/>
  <c r="H189" i="1"/>
  <c r="I189" i="1" s="1"/>
  <c r="J189" i="1" s="1"/>
  <c r="H190" i="1"/>
  <c r="I190" i="1"/>
  <c r="J190" i="1" s="1"/>
  <c r="H191" i="1"/>
  <c r="I191" i="1" s="1"/>
  <c r="J191" i="1" s="1"/>
  <c r="H192" i="1"/>
  <c r="I192" i="1"/>
  <c r="J192" i="1" s="1"/>
  <c r="H193" i="1"/>
  <c r="I193" i="1" s="1"/>
  <c r="J193" i="1" s="1"/>
  <c r="H194" i="1"/>
  <c r="I194" i="1"/>
  <c r="J194" i="1" s="1"/>
  <c r="I185" i="1"/>
  <c r="J185" i="1" s="1"/>
  <c r="H185" i="1"/>
  <c r="H173" i="1"/>
  <c r="I173" i="1"/>
  <c r="J173" i="1" s="1"/>
  <c r="H174" i="1"/>
  <c r="I174" i="1" s="1"/>
  <c r="J174" i="1" s="1"/>
  <c r="H175" i="1"/>
  <c r="I175" i="1"/>
  <c r="J175" i="1" s="1"/>
  <c r="H176" i="1"/>
  <c r="I176" i="1" s="1"/>
  <c r="J176" i="1" s="1"/>
  <c r="H177" i="1"/>
  <c r="I177" i="1"/>
  <c r="J177" i="1" s="1"/>
  <c r="H178" i="1"/>
  <c r="I178" i="1" s="1"/>
  <c r="J178" i="1" s="1"/>
  <c r="H179" i="1"/>
  <c r="I179" i="1"/>
  <c r="J179" i="1" s="1"/>
  <c r="H180" i="1"/>
  <c r="I180" i="1" s="1"/>
  <c r="J180" i="1" s="1"/>
  <c r="H181" i="1"/>
  <c r="I181" i="1"/>
  <c r="J181" i="1" s="1"/>
  <c r="H182" i="1"/>
  <c r="I182" i="1" s="1"/>
  <c r="J182" i="1" s="1"/>
  <c r="H183" i="1"/>
  <c r="I183" i="1"/>
  <c r="J183" i="1" s="1"/>
  <c r="I172" i="1"/>
  <c r="J172" i="1" s="1"/>
  <c r="H172" i="1"/>
  <c r="H159" i="1"/>
  <c r="I159" i="1"/>
  <c r="J159" i="1" s="1"/>
  <c r="H160" i="1"/>
  <c r="I160" i="1" s="1"/>
  <c r="J160" i="1" s="1"/>
  <c r="H161" i="1"/>
  <c r="I161" i="1"/>
  <c r="J161" i="1" s="1"/>
  <c r="H162" i="1"/>
  <c r="I162" i="1" s="1"/>
  <c r="J162" i="1" s="1"/>
  <c r="H163" i="1"/>
  <c r="I163" i="1"/>
  <c r="J163" i="1" s="1"/>
  <c r="H164" i="1"/>
  <c r="I164" i="1" s="1"/>
  <c r="J164" i="1" s="1"/>
  <c r="H165" i="1"/>
  <c r="I165" i="1"/>
  <c r="J165" i="1" s="1"/>
  <c r="H166" i="1"/>
  <c r="I166" i="1" s="1"/>
  <c r="J166" i="1" s="1"/>
  <c r="H167" i="1"/>
  <c r="I167" i="1"/>
  <c r="J167" i="1" s="1"/>
  <c r="H168" i="1"/>
  <c r="I168" i="1" s="1"/>
  <c r="J168" i="1" s="1"/>
  <c r="H169" i="1"/>
  <c r="I169" i="1"/>
  <c r="J169" i="1" s="1"/>
  <c r="H170" i="1"/>
  <c r="I170" i="1" s="1"/>
  <c r="J170" i="1" s="1"/>
  <c r="I158" i="1"/>
  <c r="J158" i="1" s="1"/>
  <c r="H158" i="1"/>
  <c r="H143" i="1"/>
  <c r="I143" i="1"/>
  <c r="J143" i="1" s="1"/>
  <c r="H144" i="1"/>
  <c r="I144" i="1" s="1"/>
  <c r="J144" i="1" s="1"/>
  <c r="H145" i="1"/>
  <c r="I145" i="1"/>
  <c r="J145" i="1" s="1"/>
  <c r="H146" i="1"/>
  <c r="I146" i="1" s="1"/>
  <c r="J146" i="1" s="1"/>
  <c r="H147" i="1"/>
  <c r="I147" i="1"/>
  <c r="J147" i="1" s="1"/>
  <c r="H148" i="1"/>
  <c r="I148" i="1" s="1"/>
  <c r="J148" i="1" s="1"/>
  <c r="H149" i="1"/>
  <c r="I149" i="1"/>
  <c r="J149" i="1" s="1"/>
  <c r="H150" i="1"/>
  <c r="I150" i="1" s="1"/>
  <c r="J150" i="1" s="1"/>
  <c r="H151" i="1"/>
  <c r="I151" i="1"/>
  <c r="J151" i="1" s="1"/>
  <c r="H152" i="1"/>
  <c r="I152" i="1" s="1"/>
  <c r="J152" i="1" s="1"/>
  <c r="H153" i="1"/>
  <c r="I153" i="1"/>
  <c r="J153" i="1" s="1"/>
  <c r="H154" i="1"/>
  <c r="I154" i="1" s="1"/>
  <c r="J154" i="1" s="1"/>
  <c r="H155" i="1"/>
  <c r="I155" i="1"/>
  <c r="J155" i="1" s="1"/>
  <c r="H156" i="1"/>
  <c r="I156" i="1" s="1"/>
  <c r="J156" i="1" s="1"/>
  <c r="I142" i="1"/>
  <c r="J142" i="1" s="1"/>
  <c r="H142" i="1"/>
  <c r="H104" i="1"/>
  <c r="I104" i="1"/>
  <c r="J104" i="1" s="1"/>
  <c r="H105" i="1"/>
  <c r="I105" i="1" s="1"/>
  <c r="J105" i="1" s="1"/>
  <c r="H106" i="1"/>
  <c r="I106" i="1"/>
  <c r="J106" i="1" s="1"/>
  <c r="H107" i="1"/>
  <c r="I107" i="1" s="1"/>
  <c r="J107" i="1" s="1"/>
  <c r="H108" i="1"/>
  <c r="I108" i="1"/>
  <c r="J108" i="1" s="1"/>
  <c r="H109" i="1"/>
  <c r="I109" i="1" s="1"/>
  <c r="J109" i="1" s="1"/>
  <c r="H110" i="1"/>
  <c r="I110" i="1"/>
  <c r="J110" i="1" s="1"/>
  <c r="H111" i="1"/>
  <c r="I111" i="1" s="1"/>
  <c r="J111" i="1" s="1"/>
  <c r="H112" i="1"/>
  <c r="I112" i="1"/>
  <c r="J112" i="1" s="1"/>
  <c r="H113" i="1"/>
  <c r="I113" i="1" s="1"/>
  <c r="J113" i="1" s="1"/>
  <c r="H114" i="1"/>
  <c r="I114" i="1"/>
  <c r="J114" i="1" s="1"/>
  <c r="H115" i="1"/>
  <c r="I115" i="1" s="1"/>
  <c r="J115" i="1" s="1"/>
  <c r="H116" i="1"/>
  <c r="I116" i="1"/>
  <c r="J116" i="1" s="1"/>
  <c r="H117" i="1"/>
  <c r="I117" i="1" s="1"/>
  <c r="J117" i="1" s="1"/>
  <c r="H118" i="1"/>
  <c r="I118" i="1"/>
  <c r="J118" i="1" s="1"/>
  <c r="H119" i="1"/>
  <c r="I119" i="1" s="1"/>
  <c r="J119" i="1" s="1"/>
  <c r="H120" i="1"/>
  <c r="I120" i="1"/>
  <c r="J120" i="1" s="1"/>
  <c r="H121" i="1"/>
  <c r="I121" i="1" s="1"/>
  <c r="J121" i="1" s="1"/>
  <c r="H122" i="1"/>
  <c r="I122" i="1"/>
  <c r="J122" i="1" s="1"/>
  <c r="H123" i="1"/>
  <c r="I123" i="1" s="1"/>
  <c r="J123" i="1" s="1"/>
  <c r="H124" i="1"/>
  <c r="I124" i="1"/>
  <c r="J124" i="1" s="1"/>
  <c r="H125" i="1"/>
  <c r="I125" i="1" s="1"/>
  <c r="J125" i="1" s="1"/>
  <c r="H126" i="1"/>
  <c r="I126" i="1"/>
  <c r="J126" i="1" s="1"/>
  <c r="H127" i="1"/>
  <c r="I127" i="1" s="1"/>
  <c r="J127" i="1" s="1"/>
  <c r="H128" i="1"/>
  <c r="I128" i="1"/>
  <c r="J128" i="1" s="1"/>
  <c r="H129" i="1"/>
  <c r="I129" i="1" s="1"/>
  <c r="J129" i="1" s="1"/>
  <c r="H130" i="1"/>
  <c r="I130" i="1"/>
  <c r="J130" i="1" s="1"/>
  <c r="H131" i="1"/>
  <c r="I131" i="1" s="1"/>
  <c r="J131" i="1" s="1"/>
  <c r="H132" i="1"/>
  <c r="I132" i="1"/>
  <c r="J132" i="1" s="1"/>
  <c r="H133" i="1"/>
  <c r="I133" i="1" s="1"/>
  <c r="J133" i="1" s="1"/>
  <c r="H134" i="1"/>
  <c r="I134" i="1"/>
  <c r="J134" i="1" s="1"/>
  <c r="H135" i="1"/>
  <c r="I135" i="1" s="1"/>
  <c r="J135" i="1" s="1"/>
  <c r="H136" i="1"/>
  <c r="I136" i="1"/>
  <c r="J136" i="1" s="1"/>
  <c r="H137" i="1"/>
  <c r="I137" i="1" s="1"/>
  <c r="J137" i="1" s="1"/>
  <c r="H138" i="1"/>
  <c r="I138" i="1"/>
  <c r="J138" i="1" s="1"/>
  <c r="H139" i="1"/>
  <c r="I139" i="1" s="1"/>
  <c r="J139" i="1" s="1"/>
  <c r="H140" i="1"/>
  <c r="I140" i="1"/>
  <c r="J140" i="1" s="1"/>
  <c r="I103" i="1"/>
  <c r="J103" i="1" s="1"/>
  <c r="H103" i="1"/>
  <c r="H87" i="1"/>
  <c r="I87" i="1"/>
  <c r="J87" i="1" s="1"/>
  <c r="H88" i="1"/>
  <c r="I88" i="1" s="1"/>
  <c r="J88" i="1" s="1"/>
  <c r="H89" i="1"/>
  <c r="I89" i="1"/>
  <c r="J89" i="1" s="1"/>
  <c r="H90" i="1"/>
  <c r="I90" i="1" s="1"/>
  <c r="J90" i="1" s="1"/>
  <c r="H91" i="1"/>
  <c r="I91" i="1"/>
  <c r="J91" i="1" s="1"/>
  <c r="H92" i="1"/>
  <c r="I92" i="1" s="1"/>
  <c r="J92" i="1" s="1"/>
  <c r="H93" i="1"/>
  <c r="I93" i="1"/>
  <c r="J93" i="1" s="1"/>
  <c r="H94" i="1"/>
  <c r="I94" i="1" s="1"/>
  <c r="J94" i="1" s="1"/>
  <c r="H95" i="1"/>
  <c r="I95" i="1"/>
  <c r="J95" i="1" s="1"/>
  <c r="H96" i="1"/>
  <c r="I96" i="1" s="1"/>
  <c r="J96" i="1" s="1"/>
  <c r="H97" i="1"/>
  <c r="I97" i="1"/>
  <c r="J97" i="1" s="1"/>
  <c r="H98" i="1"/>
  <c r="I98" i="1" s="1"/>
  <c r="J98" i="1" s="1"/>
  <c r="H99" i="1"/>
  <c r="I99" i="1"/>
  <c r="J99" i="1" s="1"/>
  <c r="H100" i="1"/>
  <c r="I100" i="1" s="1"/>
  <c r="J100" i="1" s="1"/>
  <c r="H101" i="1"/>
  <c r="I101" i="1"/>
  <c r="J101" i="1" s="1"/>
  <c r="I86" i="1"/>
  <c r="J86" i="1" s="1"/>
  <c r="H86" i="1"/>
  <c r="H64" i="1"/>
  <c r="I64" i="1"/>
  <c r="J64" i="1" s="1"/>
  <c r="H65" i="1"/>
  <c r="I65" i="1" s="1"/>
  <c r="J65" i="1" s="1"/>
  <c r="H66" i="1"/>
  <c r="I66" i="1"/>
  <c r="J66" i="1" s="1"/>
  <c r="H67" i="1"/>
  <c r="I67" i="1" s="1"/>
  <c r="J67" i="1" s="1"/>
  <c r="H68" i="1"/>
  <c r="I68" i="1"/>
  <c r="J68" i="1" s="1"/>
  <c r="H69" i="1"/>
  <c r="I69" i="1" s="1"/>
  <c r="J69" i="1" s="1"/>
  <c r="H70" i="1"/>
  <c r="I70" i="1"/>
  <c r="J70" i="1" s="1"/>
  <c r="H71" i="1"/>
  <c r="I71" i="1" s="1"/>
  <c r="J71" i="1" s="1"/>
  <c r="H72" i="1"/>
  <c r="I72" i="1"/>
  <c r="J72" i="1" s="1"/>
  <c r="H73" i="1"/>
  <c r="I73" i="1" s="1"/>
  <c r="J73" i="1" s="1"/>
  <c r="H74" i="1"/>
  <c r="I74" i="1"/>
  <c r="J74" i="1" s="1"/>
  <c r="H75" i="1"/>
  <c r="I75" i="1" s="1"/>
  <c r="J75" i="1" s="1"/>
  <c r="H76" i="1"/>
  <c r="I76" i="1"/>
  <c r="J76" i="1" s="1"/>
  <c r="H77" i="1"/>
  <c r="I77" i="1" s="1"/>
  <c r="J77" i="1" s="1"/>
  <c r="H78" i="1"/>
  <c r="I78" i="1"/>
  <c r="J78" i="1" s="1"/>
  <c r="H79" i="1"/>
  <c r="I79" i="1" s="1"/>
  <c r="J79" i="1" s="1"/>
  <c r="H80" i="1"/>
  <c r="I80" i="1"/>
  <c r="J80" i="1" s="1"/>
  <c r="H81" i="1"/>
  <c r="I81" i="1" s="1"/>
  <c r="J81" i="1" s="1"/>
  <c r="H82" i="1"/>
  <c r="I82" i="1"/>
  <c r="J82" i="1" s="1"/>
  <c r="H83" i="1"/>
  <c r="I83" i="1" s="1"/>
  <c r="J83" i="1" s="1"/>
  <c r="H84" i="1"/>
  <c r="I84" i="1"/>
  <c r="J84" i="1" s="1"/>
  <c r="I63" i="1"/>
  <c r="J63" i="1" s="1"/>
  <c r="H63" i="1"/>
  <c r="H10" i="1"/>
  <c r="I10" i="1"/>
  <c r="J10" i="1" s="1"/>
  <c r="H11" i="1"/>
  <c r="I11" i="1" s="1"/>
  <c r="J11" i="1" s="1"/>
  <c r="H12" i="1"/>
  <c r="I12" i="1"/>
  <c r="J12" i="1" s="1"/>
  <c r="H13" i="1"/>
  <c r="I13" i="1" s="1"/>
  <c r="J13" i="1" s="1"/>
  <c r="H14" i="1"/>
  <c r="I14" i="1"/>
  <c r="J14" i="1" s="1"/>
  <c r="H15" i="1"/>
  <c r="I15" i="1" s="1"/>
  <c r="J15" i="1" s="1"/>
  <c r="H16" i="1"/>
  <c r="I16" i="1"/>
  <c r="J16" i="1" s="1"/>
  <c r="H17" i="1"/>
  <c r="I17" i="1" s="1"/>
  <c r="J17" i="1" s="1"/>
  <c r="H18" i="1"/>
  <c r="I18" i="1"/>
  <c r="J18" i="1" s="1"/>
  <c r="H19" i="1"/>
  <c r="I19" i="1" s="1"/>
  <c r="J19" i="1" s="1"/>
  <c r="H20" i="1"/>
  <c r="I20" i="1"/>
  <c r="J20" i="1" s="1"/>
  <c r="H21" i="1"/>
  <c r="I21" i="1" s="1"/>
  <c r="J21" i="1" s="1"/>
  <c r="H22" i="1"/>
  <c r="I22" i="1"/>
  <c r="J22" i="1" s="1"/>
  <c r="H23" i="1"/>
  <c r="I23" i="1" s="1"/>
  <c r="J23" i="1" s="1"/>
  <c r="H24" i="1"/>
  <c r="I24" i="1"/>
  <c r="J24" i="1" s="1"/>
  <c r="H25" i="1"/>
  <c r="I25" i="1" s="1"/>
  <c r="J25" i="1" s="1"/>
  <c r="H26" i="1"/>
  <c r="I26" i="1"/>
  <c r="J26" i="1" s="1"/>
  <c r="H27" i="1"/>
  <c r="I27" i="1" s="1"/>
  <c r="J27" i="1" s="1"/>
  <c r="H28" i="1"/>
  <c r="I28" i="1"/>
  <c r="J28" i="1" s="1"/>
  <c r="H29" i="1"/>
  <c r="I29" i="1" s="1"/>
  <c r="J29" i="1" s="1"/>
  <c r="H30" i="1"/>
  <c r="I30" i="1"/>
  <c r="J30" i="1" s="1"/>
  <c r="H31" i="1"/>
  <c r="I31" i="1" s="1"/>
  <c r="J31" i="1" s="1"/>
  <c r="H32" i="1"/>
  <c r="I32" i="1"/>
  <c r="J32" i="1" s="1"/>
  <c r="H33" i="1"/>
  <c r="I33" i="1" s="1"/>
  <c r="J33" i="1" s="1"/>
  <c r="H34" i="1"/>
  <c r="I34" i="1"/>
  <c r="J34" i="1" s="1"/>
  <c r="H35" i="1"/>
  <c r="I35" i="1" s="1"/>
  <c r="J35" i="1" s="1"/>
  <c r="H36" i="1"/>
  <c r="I36" i="1"/>
  <c r="J36" i="1" s="1"/>
  <c r="H37" i="1"/>
  <c r="I37" i="1" s="1"/>
  <c r="J37" i="1" s="1"/>
  <c r="H38" i="1"/>
  <c r="I38" i="1"/>
  <c r="J38" i="1" s="1"/>
  <c r="H39" i="1"/>
  <c r="I39" i="1" s="1"/>
  <c r="J39" i="1" s="1"/>
  <c r="H40" i="1"/>
  <c r="I40" i="1"/>
  <c r="J40" i="1" s="1"/>
  <c r="H41" i="1"/>
  <c r="I41" i="1" s="1"/>
  <c r="J41" i="1" s="1"/>
  <c r="H42" i="1"/>
  <c r="I42" i="1"/>
  <c r="J42" i="1" s="1"/>
  <c r="H43" i="1"/>
  <c r="I43" i="1" s="1"/>
  <c r="J43" i="1" s="1"/>
  <c r="H44" i="1"/>
  <c r="I44" i="1"/>
  <c r="J44" i="1" s="1"/>
  <c r="H45" i="1"/>
  <c r="I45" i="1" s="1"/>
  <c r="J45" i="1" s="1"/>
  <c r="H46" i="1"/>
  <c r="I46" i="1"/>
  <c r="J46" i="1" s="1"/>
  <c r="H47" i="1"/>
  <c r="I47" i="1" s="1"/>
  <c r="J47" i="1" s="1"/>
  <c r="H48" i="1"/>
  <c r="I48" i="1"/>
  <c r="J48" i="1" s="1"/>
  <c r="H49" i="1"/>
  <c r="I49" i="1" s="1"/>
  <c r="J49" i="1" s="1"/>
  <c r="H50" i="1"/>
  <c r="I50" i="1"/>
  <c r="J50" i="1" s="1"/>
  <c r="H51" i="1"/>
  <c r="I51" i="1" s="1"/>
  <c r="J51" i="1" s="1"/>
  <c r="H52" i="1"/>
  <c r="I52" i="1"/>
  <c r="J52" i="1" s="1"/>
  <c r="H53" i="1"/>
  <c r="I53" i="1" s="1"/>
  <c r="J53" i="1" s="1"/>
  <c r="H54" i="1"/>
  <c r="I54" i="1"/>
  <c r="J54" i="1" s="1"/>
  <c r="H55" i="1"/>
  <c r="I55" i="1" s="1"/>
  <c r="J55" i="1" s="1"/>
  <c r="H56" i="1"/>
  <c r="I56" i="1"/>
  <c r="J56" i="1" s="1"/>
  <c r="H57" i="1"/>
  <c r="I57" i="1" s="1"/>
  <c r="J57" i="1" s="1"/>
  <c r="H58" i="1"/>
  <c r="I58" i="1"/>
  <c r="J58" i="1" s="1"/>
  <c r="H59" i="1"/>
  <c r="I59" i="1" s="1"/>
  <c r="J59" i="1" s="1"/>
  <c r="H60" i="1"/>
  <c r="I60" i="1"/>
  <c r="J60" i="1" s="1"/>
  <c r="H61" i="1"/>
  <c r="I61" i="1" s="1"/>
  <c r="J61" i="1" s="1"/>
  <c r="J9" i="1"/>
  <c r="I9" i="1"/>
  <c r="H9" i="1"/>
  <c r="D219" i="1" l="1"/>
  <c r="D177" i="1"/>
  <c r="D140" i="1"/>
</calcChain>
</file>

<file path=xl/sharedStrings.xml><?xml version="1.0" encoding="utf-8"?>
<sst xmlns="http://schemas.openxmlformats.org/spreadsheetml/2006/main" count="638" uniqueCount="144">
  <si>
    <t>Código</t>
  </si>
  <si>
    <t>Producto</t>
  </si>
  <si>
    <t>FC</t>
  </si>
  <si>
    <t>Envase</t>
  </si>
  <si>
    <t>Tecnología</t>
  </si>
  <si>
    <t>Precio Neto</t>
  </si>
  <si>
    <t>IVA</t>
  </si>
  <si>
    <t>Precio final</t>
  </si>
  <si>
    <t>GAMA AUTOMOTIVE</t>
  </si>
  <si>
    <t xml:space="preserve">Gulf Formula Elite 5W-30 </t>
  </si>
  <si>
    <t>CAJA 12 x 1 L</t>
  </si>
  <si>
    <t>Sintético</t>
  </si>
  <si>
    <t>CAJA 4 x 4 L</t>
  </si>
  <si>
    <t>Gulf Formula G 5W-40</t>
  </si>
  <si>
    <t>Gulf Formula PCX 0W-30 (PSA)</t>
  </si>
  <si>
    <t>Gulf Formula GVX 5W-30</t>
  </si>
  <si>
    <t>BAG IN BOX 8 L</t>
  </si>
  <si>
    <t>Gulf Formula CX 5W-30</t>
  </si>
  <si>
    <t>Gulf Formula FS 5W-30</t>
  </si>
  <si>
    <t>Gulf Ultrasynth GDI 0W-20</t>
  </si>
  <si>
    <t>TBR 205 L</t>
  </si>
  <si>
    <t>TBR 100 L</t>
  </si>
  <si>
    <t>Gulf Ultrasynth GDI 5W-30</t>
  </si>
  <si>
    <t>Gulf Ultrasynth GDI 5W-40</t>
  </si>
  <si>
    <t>Gulf Max Ultra GDI 10W-40</t>
  </si>
  <si>
    <t>Semi-Sintético</t>
  </si>
  <si>
    <t>BALDE 20 L</t>
  </si>
  <si>
    <t>Gulf Max Ultra Plus 10W-40</t>
  </si>
  <si>
    <t>Gulf Max Ultra 10W-40</t>
  </si>
  <si>
    <t>Gulf Max 15W-40</t>
  </si>
  <si>
    <t>Mineral</t>
  </si>
  <si>
    <t>Gulf Max 20W-50</t>
  </si>
  <si>
    <t>Gulf Multi G 15W-40</t>
  </si>
  <si>
    <t>CONTENEDOR</t>
  </si>
  <si>
    <t>Gulf Multi G 20W-50</t>
  </si>
  <si>
    <t>Gulf Multi G KM 25W-60</t>
  </si>
  <si>
    <t>GAMA PESADOS (HEAVY DUTY)</t>
  </si>
  <si>
    <t xml:space="preserve">Gulf Superfleet Profesional Long Drain 10W-40 </t>
  </si>
  <si>
    <t>TBR 208 L</t>
  </si>
  <si>
    <t>Gulf Superfleet Supreme 15W-40</t>
  </si>
  <si>
    <t>BIB 20 L</t>
  </si>
  <si>
    <t>BALDE 10 L</t>
  </si>
  <si>
    <t>Gulf Super Duty LE 15W-40</t>
  </si>
  <si>
    <t>Gulf Super Duty LE 20W-50</t>
  </si>
  <si>
    <t>Gulf Superfleet LE 15W-40</t>
  </si>
  <si>
    <t>Gulf Super Diesel Plus 25W-60</t>
  </si>
  <si>
    <t>Gulf Super Duty CH-4 20W-50</t>
  </si>
  <si>
    <t xml:space="preserve">Gulf Super Duty CF-4 15W-40 </t>
  </si>
  <si>
    <t>Gulf Super Duty CF 40</t>
  </si>
  <si>
    <t>ESPECIALIDADES (SPECIALITY)</t>
  </si>
  <si>
    <t>Gulf Antifreeze Organico Verde</t>
  </si>
  <si>
    <t>Acuoso</t>
  </si>
  <si>
    <t>Gulf Antifreeze Organico Rojo</t>
  </si>
  <si>
    <t>Gulf Antifreeze Organico Amarillo</t>
  </si>
  <si>
    <t>Gulf Permafreeze 50 Organico Rojo</t>
  </si>
  <si>
    <t>Gulf Lava Parabrisas</t>
  </si>
  <si>
    <t>Gulf Blue 32º (Urea)</t>
  </si>
  <si>
    <t>TBR 200 L</t>
  </si>
  <si>
    <t>GAMA TRANSMISIONES</t>
  </si>
  <si>
    <t>Gulf Syngear 75W-90</t>
  </si>
  <si>
    <t>Gulf Syngear FE 75W-80</t>
  </si>
  <si>
    <t>Gulf DCT Fluid</t>
  </si>
  <si>
    <t xml:space="preserve">Gulf Multi-Vehicle CVT </t>
  </si>
  <si>
    <t>Gulf Multi-Vehicle ATF</t>
  </si>
  <si>
    <t>Gulf Multi-Vehicle ATF LV</t>
  </si>
  <si>
    <t xml:space="preserve">Gulf Gear MP 80W-90 </t>
  </si>
  <si>
    <t>Gulf Gear MP 85W-140</t>
  </si>
  <si>
    <t xml:space="preserve">Gulf Gear EP 80W-90 </t>
  </si>
  <si>
    <t>Gulf Gear EP 85W-140</t>
  </si>
  <si>
    <t>Gulf Gear EP 85W-140</t>
  </si>
  <si>
    <t>Gulf Gear LS 80W-90 API GL-5</t>
  </si>
  <si>
    <t>Gulf Gear XP 80W</t>
  </si>
  <si>
    <t>Gulf Gear ZA 90</t>
  </si>
  <si>
    <t>Gulf Gear ZA 140</t>
  </si>
  <si>
    <t>Gulf Gear ZA 140</t>
  </si>
  <si>
    <t xml:space="preserve">Gulf ATF DX III </t>
  </si>
  <si>
    <t xml:space="preserve">Gulf ATF Type A </t>
  </si>
  <si>
    <t>Gulf Drive Fluid ISO VG 46</t>
  </si>
  <si>
    <t>CAJA 12 x 946 ml</t>
  </si>
  <si>
    <t>Gulf Harmony AW-150</t>
  </si>
  <si>
    <t>Gulf Harmony AW-100</t>
  </si>
  <si>
    <t>Gulf Harmony AW-100</t>
  </si>
  <si>
    <t>Gulf Harmony AW-68</t>
  </si>
  <si>
    <t>Gulf Harmony AW-68</t>
  </si>
  <si>
    <t>Gulf Harmony AW-46</t>
  </si>
  <si>
    <t>Gulf Harmony AW-46</t>
  </si>
  <si>
    <t>Gulf Harmony AW-32</t>
  </si>
  <si>
    <t>Gulf Harmony HVI-46</t>
  </si>
  <si>
    <t>Gulf Harmony HLP 46</t>
  </si>
  <si>
    <t>Gulf Geartek HD 460</t>
  </si>
  <si>
    <t>Gulf Geartek HD 320</t>
  </si>
  <si>
    <t>Gulf Geartek HD 220</t>
  </si>
  <si>
    <t>Gulf Geartek HD 150</t>
  </si>
  <si>
    <t>Gulf Geartek HD 100</t>
  </si>
  <si>
    <t>Gulf Geartek HD 68</t>
  </si>
  <si>
    <t>Gulf Therm 32</t>
  </si>
  <si>
    <t>GAMA MOTO</t>
  </si>
  <si>
    <t>Gulf Syntrac 4T 10W-40</t>
  </si>
  <si>
    <t>Gulf Power Trac 4T 15W-50</t>
  </si>
  <si>
    <t>DOY PACK 12 x 1 L</t>
  </si>
  <si>
    <t>Gulf Pride 4T Plus 20W-50</t>
  </si>
  <si>
    <t>DOY PACK 16 x 800 ml</t>
  </si>
  <si>
    <t>Gulf Pride 2T</t>
  </si>
  <si>
    <t>CAJA 100 x 100 ml</t>
  </si>
  <si>
    <t>GAMA AGRÍCOLA - VIAL</t>
  </si>
  <si>
    <t>Gulf HT Fluid TO-4 SAE 50</t>
  </si>
  <si>
    <t xml:space="preserve">Gulf HT Fluid WB </t>
  </si>
  <si>
    <t>Gulf HT Fluid TO-4 SAE 30</t>
  </si>
  <si>
    <t>Gulf HT Fluid TO-4 10W</t>
  </si>
  <si>
    <t>Gulf HT Fluid TO-4 SAE 10W</t>
  </si>
  <si>
    <t>Gulf HT Fluid C-4 SAE 30</t>
  </si>
  <si>
    <t>Gulf Tractor UTTF 10W-30</t>
  </si>
  <si>
    <t>COSMETICA - AUTOS &amp; MOTOS</t>
  </si>
  <si>
    <t>Limpiador de Cadenas</t>
  </si>
  <si>
    <t>-</t>
  </si>
  <si>
    <t>CAJA 12 x 220 ml</t>
  </si>
  <si>
    <t>Gulf Infla &amp; Repara</t>
  </si>
  <si>
    <t>CAJA 6 x 420 ml</t>
  </si>
  <si>
    <t>Lubricante de Cadenas</t>
  </si>
  <si>
    <t>Revitalizador Multisuperficies</t>
  </si>
  <si>
    <t>CAJA 6 x 400 ml</t>
  </si>
  <si>
    <t>Limpia Tapizados</t>
  </si>
  <si>
    <t>CAJA 6 x 410 ml</t>
  </si>
  <si>
    <t>Lava Autos Siliconado</t>
  </si>
  <si>
    <t>CAJA 12 x 500 ml</t>
  </si>
  <si>
    <t>Cera Brillo Final</t>
  </si>
  <si>
    <t>Revitalizador Siliconado p/ Neumáticos</t>
  </si>
  <si>
    <t>Aromatizador Automovil</t>
  </si>
  <si>
    <t>CAJA 24 Un</t>
  </si>
  <si>
    <t>GRASAS Jabon de Calcio complejo</t>
  </si>
  <si>
    <t>Crown CSC 2 DS 220 </t>
  </si>
  <si>
    <t>BALDE 18 KG</t>
  </si>
  <si>
    <t>Crown CSC 2 DS 220 </t>
  </si>
  <si>
    <t>TBR 180 KG</t>
  </si>
  <si>
    <t>Crown CSC A Grease 2 </t>
  </si>
  <si>
    <t>Crown CSC A2 460 </t>
  </si>
  <si>
    <t>GRASAS Jabon de Litio</t>
  </si>
  <si>
    <t>Crown EP 2 </t>
  </si>
  <si>
    <t>PACK 4 x 3 KG</t>
  </si>
  <si>
    <t>Crown MP 2 </t>
  </si>
  <si>
    <t>Gulf Multipurpose</t>
  </si>
  <si>
    <t>PACK 12 x 900 G</t>
  </si>
  <si>
    <r>
      <rPr>
        <b/>
        <sz val="12"/>
        <color theme="0"/>
        <rFont val="Calibri"/>
        <family val="1"/>
      </rPr>
      <t>LUBRICANTES HIDRAULICOS HLP</t>
    </r>
  </si>
  <si>
    <r>
      <rPr>
        <b/>
        <sz val="12"/>
        <color theme="0"/>
        <rFont val="Calibri"/>
        <family val="1"/>
      </rPr>
      <t>LUBRICANTES PARA REDUCTORES CLP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</si>
</sst>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$-2C0A]\ #,##0.00"/>
    <numFmt numFmtId="166" formatCode="_-&quot;$&quot;\ * #,##0.00_-;\-&quot;$&quot;\ * #,##0.00_-;_-&quot;$&quot;\ 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3"/>
      <name val="Calibri  "/>
    </font>
    <font>
      <sz val="9"/>
      <color theme="1"/>
      <name val="Calibri  "/>
    </font>
    <font>
      <sz val="10"/>
      <name val="Arial"/>
      <family val="2"/>
    </font>
    <font>
      <b/>
      <sz val="9"/>
      <color theme="0"/>
      <name val="Calibri  "/>
    </font>
    <font>
      <b/>
      <sz val="9"/>
      <color theme="0"/>
      <name val="Arial"/>
      <family val="2"/>
    </font>
    <font>
      <b/>
      <sz val="12"/>
      <color theme="3"/>
      <name val="Calibri  "/>
    </font>
    <font>
      <b/>
      <sz val="12"/>
      <color theme="3"/>
      <name val="Arial"/>
      <family val="2"/>
    </font>
    <font>
      <b/>
      <sz val="12"/>
      <color rgb="FF44546A"/>
      <name val="Calibri  "/>
    </font>
    <font>
      <b/>
      <sz val="12"/>
      <color theme="0"/>
      <name val="Arial"/>
      <family val="2"/>
    </font>
    <font>
      <b/>
      <sz val="12"/>
      <color theme="0"/>
      <name val="Calibri"/>
      <family val="1"/>
    </font>
    <font>
      <sz val="12"/>
      <color theme="3"/>
      <name val="Calibri  "/>
    </font>
    <font>
      <sz val="12"/>
      <color theme="1"/>
      <name val="Calibri  "/>
    </font>
    <font>
      <sz val="12"/>
      <color theme="1"/>
      <name val="Calibri"/>
      <family val="2"/>
      <scheme val="minor"/>
    </font>
    <font>
      <b/>
      <sz val="14"/>
      <color theme="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rgb="FF002776"/>
      </patternFill>
    </fill>
    <fill>
      <patternFill patternType="solid">
        <fgColor rgb="FFFFEDE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" fillId="0" borderId="0"/>
  </cellStyleXfs>
  <cellXfs count="67">
    <xf numFmtId="0" fontId="0" fillId="0" borderId="0" xfId="0"/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1" applyFont="1" applyFill="1" applyAlignment="1">
      <alignment horizontal="center" vertical="center"/>
    </xf>
    <xf numFmtId="164" fontId="2" fillId="0" borderId="0" xfId="1" applyFont="1" applyAlignment="1">
      <alignment horizontal="center" vertical="center"/>
    </xf>
    <xf numFmtId="0" fontId="3" fillId="0" borderId="0" xfId="0" applyFont="1"/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vertical="center"/>
    </xf>
    <xf numFmtId="0" fontId="5" fillId="2" borderId="1" xfId="3" applyFont="1" applyFill="1" applyBorder="1" applyAlignment="1">
      <alignment horizontal="left" vertical="center"/>
    </xf>
    <xf numFmtId="164" fontId="5" fillId="2" borderId="1" xfId="1" applyFont="1" applyFill="1" applyBorder="1" applyAlignment="1">
      <alignment horizontal="center" vertical="center"/>
    </xf>
    <xf numFmtId="166" fontId="3" fillId="0" borderId="0" xfId="2" applyFont="1"/>
    <xf numFmtId="0" fontId="3" fillId="0" borderId="0" xfId="0" applyFont="1" applyAlignment="1">
      <alignment horizontal="left"/>
    </xf>
    <xf numFmtId="164" fontId="0" fillId="0" borderId="0" xfId="1" applyFont="1" applyFill="1"/>
    <xf numFmtId="164" fontId="3" fillId="0" borderId="0" xfId="1" applyFont="1"/>
    <xf numFmtId="0" fontId="7" fillId="4" borderId="4" xfId="0" applyFont="1" applyFill="1" applyBorder="1" applyAlignment="1">
      <alignment horizontal="center" vertical="center"/>
    </xf>
    <xf numFmtId="0" fontId="8" fillId="0" borderId="4" xfId="3" applyFont="1" applyBorder="1" applyAlignment="1">
      <alignment vertical="center"/>
    </xf>
    <xf numFmtId="0" fontId="8" fillId="0" borderId="3" xfId="3" applyFont="1" applyBorder="1" applyAlignment="1">
      <alignment horizontal="center" vertical="center"/>
    </xf>
    <xf numFmtId="0" fontId="8" fillId="0" borderId="3" xfId="3" applyFont="1" applyBorder="1" applyAlignment="1">
      <alignment horizontal="left" vertical="center" wrapText="1"/>
    </xf>
    <xf numFmtId="164" fontId="7" fillId="0" borderId="3" xfId="1" applyFont="1" applyFill="1" applyBorder="1" applyAlignment="1">
      <alignment horizontal="distributed" vertical="center"/>
    </xf>
    <xf numFmtId="164" fontId="8" fillId="0" borderId="3" xfId="1" applyFont="1" applyBorder="1" applyAlignment="1">
      <alignment horizontal="center" vertical="center"/>
    </xf>
    <xf numFmtId="0" fontId="7" fillId="0" borderId="4" xfId="3" applyFont="1" applyBorder="1" applyAlignment="1">
      <alignment vertical="center"/>
    </xf>
    <xf numFmtId="0" fontId="7" fillId="0" borderId="3" xfId="3" applyFont="1" applyBorder="1" applyAlignment="1">
      <alignment horizontal="center" vertical="center"/>
    </xf>
    <xf numFmtId="0" fontId="7" fillId="0" borderId="3" xfId="3" applyFont="1" applyBorder="1" applyAlignment="1">
      <alignment horizontal="left" vertical="center" wrapText="1"/>
    </xf>
    <xf numFmtId="0" fontId="7" fillId="0" borderId="4" xfId="3" applyFont="1" applyBorder="1" applyAlignment="1">
      <alignment vertical="center" wrapText="1"/>
    </xf>
    <xf numFmtId="0" fontId="7" fillId="0" borderId="3" xfId="3" applyFont="1" applyBorder="1" applyAlignment="1">
      <alignment horizontal="center" vertical="center" wrapText="1"/>
    </xf>
    <xf numFmtId="0" fontId="7" fillId="0" borderId="3" xfId="3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7" fillId="0" borderId="6" xfId="3" applyFont="1" applyBorder="1" applyAlignment="1">
      <alignment horizontal="center" vertical="center" wrapText="1"/>
    </xf>
    <xf numFmtId="0" fontId="7" fillId="0" borderId="3" xfId="3" applyFont="1" applyBorder="1"/>
    <xf numFmtId="0" fontId="7" fillId="0" borderId="4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3" applyFont="1" applyBorder="1" applyAlignment="1">
      <alignment horizontal="center" vertical="center"/>
    </xf>
    <xf numFmtId="0" fontId="7" fillId="6" borderId="4" xfId="3" applyFont="1" applyFill="1" applyBorder="1" applyAlignment="1">
      <alignment vertical="center"/>
    </xf>
    <xf numFmtId="0" fontId="7" fillId="6" borderId="3" xfId="3" applyFont="1" applyFill="1" applyBorder="1" applyAlignment="1">
      <alignment horizontal="center" vertical="center"/>
    </xf>
    <xf numFmtId="0" fontId="7" fillId="6" borderId="3" xfId="3" applyFont="1" applyFill="1" applyBorder="1" applyAlignment="1">
      <alignment horizontal="left" vertical="center" wrapText="1"/>
    </xf>
    <xf numFmtId="2" fontId="7" fillId="0" borderId="3" xfId="3" applyNumberFormat="1" applyFont="1" applyBorder="1" applyAlignment="1">
      <alignment horizontal="center" vertical="center"/>
    </xf>
    <xf numFmtId="0" fontId="7" fillId="0" borderId="3" xfId="3" applyFont="1" applyBorder="1" applyAlignment="1">
      <alignment horizontal="left" vertical="center"/>
    </xf>
    <xf numFmtId="0" fontId="7" fillId="0" borderId="0" xfId="3" applyFont="1" applyAlignment="1">
      <alignment horizontal="center" vertical="center"/>
    </xf>
    <xf numFmtId="0" fontId="8" fillId="0" borderId="3" xfId="3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6" borderId="3" xfId="3" applyFont="1" applyFill="1" applyBorder="1" applyAlignment="1">
      <alignment horizontal="left" vertical="center"/>
    </xf>
    <xf numFmtId="0" fontId="12" fillId="0" borderId="3" xfId="3" applyFont="1" applyBorder="1" applyAlignment="1">
      <alignment horizontal="center" vertical="center"/>
    </xf>
    <xf numFmtId="0" fontId="7" fillId="6" borderId="4" xfId="3" applyFont="1" applyFill="1" applyBorder="1" applyAlignment="1">
      <alignment horizontal="left" vertical="center"/>
    </xf>
    <xf numFmtId="0" fontId="12" fillId="0" borderId="4" xfId="3" applyFont="1" applyBorder="1" applyAlignment="1">
      <alignment horizontal="center" vertical="center"/>
    </xf>
    <xf numFmtId="0" fontId="7" fillId="0" borderId="4" xfId="3" applyFont="1" applyBorder="1" applyAlignment="1">
      <alignment horizontal="left" vertical="center"/>
    </xf>
    <xf numFmtId="0" fontId="7" fillId="4" borderId="7" xfId="0" applyFont="1" applyFill="1" applyBorder="1" applyAlignment="1">
      <alignment horizontal="center" vertical="center"/>
    </xf>
    <xf numFmtId="0" fontId="7" fillId="0" borderId="7" xfId="3" applyFont="1" applyBorder="1" applyAlignment="1">
      <alignment horizontal="left" vertical="center"/>
    </xf>
    <xf numFmtId="0" fontId="7" fillId="0" borderId="7" xfId="3" applyFont="1" applyBorder="1" applyAlignment="1">
      <alignment horizontal="center" vertical="center"/>
    </xf>
    <xf numFmtId="0" fontId="7" fillId="6" borderId="7" xfId="3" applyFont="1" applyFill="1" applyBorder="1" applyAlignment="1">
      <alignment horizontal="left" vertical="center"/>
    </xf>
    <xf numFmtId="0" fontId="12" fillId="0" borderId="7" xfId="3" applyFont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/>
    </xf>
    <xf numFmtId="164" fontId="14" fillId="0" borderId="0" xfId="1" applyFont="1" applyFill="1"/>
    <xf numFmtId="164" fontId="13" fillId="0" borderId="0" xfId="1" applyFont="1"/>
    <xf numFmtId="164" fontId="15" fillId="0" borderId="3" xfId="1" applyFont="1" applyBorder="1" applyAlignment="1">
      <alignment horizontal="center" vertical="center"/>
    </xf>
    <xf numFmtId="0" fontId="10" fillId="5" borderId="5" xfId="3" applyFont="1" applyFill="1" applyBorder="1" applyAlignment="1">
      <alignment horizontal="center" vertical="center" wrapText="1"/>
    </xf>
    <xf numFmtId="0" fontId="10" fillId="5" borderId="6" xfId="3" applyFont="1" applyFill="1" applyBorder="1" applyAlignment="1">
      <alignment horizontal="center" vertical="center" wrapText="1"/>
    </xf>
    <xf numFmtId="0" fontId="10" fillId="7" borderId="5" xfId="3" applyFont="1" applyFill="1" applyBorder="1" applyAlignment="1">
      <alignment horizontal="center" vertical="center" wrapText="1"/>
    </xf>
    <xf numFmtId="0" fontId="10" fillId="7" borderId="6" xfId="3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5" borderId="5" xfId="3" applyFont="1" applyFill="1" applyBorder="1" applyAlignment="1">
      <alignment horizontal="center" vertical="center" wrapText="1"/>
    </xf>
    <xf numFmtId="0" fontId="6" fillId="5" borderId="6" xfId="3" applyFont="1" applyFill="1" applyBorder="1" applyAlignment="1">
      <alignment horizontal="center" vertical="center" wrapText="1"/>
    </xf>
    <xf numFmtId="0" fontId="6" fillId="5" borderId="2" xfId="3" applyFont="1" applyFill="1" applyBorder="1" applyAlignment="1">
      <alignment horizontal="center" vertical="center" wrapText="1"/>
    </xf>
    <xf numFmtId="0" fontId="6" fillId="5" borderId="3" xfId="3" applyFont="1" applyFill="1" applyBorder="1" applyAlignment="1">
      <alignment horizontal="center" vertical="center" wrapText="1"/>
    </xf>
  </cellXfs>
  <cellStyles count="4">
    <cellStyle name="Millares" xfId="1" builtinId="3"/>
    <cellStyle name="Moneda" xfId="2" builtinId="4"/>
    <cellStyle name="Normal" xfId="0" builtinId="0"/>
    <cellStyle name="Normal_NUEVA" xfId="3" xr:uid="{2C100518-FCB6-4853-B512-6A4A910DE1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8974317" cy="801278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16C27E60-71F7-471C-A054-60E4617B41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0"/>
          <a:ext cx="8974317" cy="801278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0</xdr:row>
      <xdr:rowOff>0</xdr:rowOff>
    </xdr:from>
    <xdr:ext cx="10165080" cy="83820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781A661F-9C8E-4584-B626-7BCA011F2E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9857" y="0"/>
          <a:ext cx="10165080" cy="838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A64F-A5F3-437A-BD2C-2C99AFA12CFF}">
  <dimension ref="B1:M232"/>
  <sheetViews>
    <sheetView showGridLines="0" tabSelected="1" zoomScale="70" zoomScaleNormal="70" workbookViewId="0">
      <selection activeCell="O14" sqref="O14"/>
    </sheetView>
  </sheetViews>
  <sheetFormatPr baseColWidth="10" defaultColWidth="11.5703125" defaultRowHeight="15"/>
  <cols>
    <col min="1" max="1" width="4.42578125" style="7" customWidth="1"/>
    <col min="2" max="2" width="15.85546875" style="7" customWidth="1"/>
    <col min="3" max="3" width="39" style="7" customWidth="1"/>
    <col min="4" max="4" width="8.5703125" style="7" customWidth="1"/>
    <col min="5" max="5" width="19.28515625" style="13" customWidth="1"/>
    <col min="6" max="6" width="12" style="7" customWidth="1"/>
    <col min="7" max="7" width="16" style="14" hidden="1" customWidth="1"/>
    <col min="8" max="8" width="16" style="14" customWidth="1"/>
    <col min="9" max="9" width="15.42578125" style="15" customWidth="1"/>
    <col min="10" max="10" width="21.140625" style="15" customWidth="1"/>
    <col min="11" max="11" width="18.42578125" style="7" bestFit="1" customWidth="1"/>
    <col min="12" max="16384" width="11.5703125" style="7"/>
  </cols>
  <sheetData>
    <row r="1" spans="2:10" ht="12">
      <c r="B1" s="1"/>
      <c r="C1" s="2"/>
      <c r="D1" s="3"/>
      <c r="E1" s="4"/>
      <c r="F1" s="3"/>
      <c r="G1" s="5"/>
      <c r="H1" s="5"/>
      <c r="I1" s="6"/>
      <c r="J1" s="6"/>
    </row>
    <row r="2" spans="2:10" ht="12">
      <c r="B2" s="1"/>
      <c r="C2" s="2"/>
      <c r="D2" s="3"/>
      <c r="E2" s="4"/>
      <c r="F2" s="3"/>
      <c r="G2" s="5"/>
      <c r="H2" s="5"/>
      <c r="I2" s="6"/>
      <c r="J2" s="6"/>
    </row>
    <row r="3" spans="2:10" ht="12">
      <c r="B3" s="1"/>
      <c r="C3" s="2"/>
      <c r="D3" s="3"/>
      <c r="E3" s="4"/>
      <c r="F3" s="3"/>
      <c r="G3" s="5"/>
      <c r="H3" s="5"/>
      <c r="I3" s="6"/>
      <c r="J3" s="6"/>
    </row>
    <row r="4" spans="2:10" ht="12">
      <c r="B4" s="1"/>
      <c r="C4" s="2"/>
      <c r="D4" s="3"/>
      <c r="E4" s="4"/>
      <c r="F4" s="3"/>
      <c r="G4" s="5"/>
      <c r="H4" s="5"/>
      <c r="I4" s="6"/>
      <c r="J4" s="6"/>
    </row>
    <row r="5" spans="2:10" ht="12">
      <c r="B5" s="1"/>
      <c r="C5" s="2"/>
      <c r="D5" s="3"/>
      <c r="E5" s="4"/>
      <c r="F5" s="3"/>
      <c r="G5" s="5"/>
      <c r="H5" s="5"/>
      <c r="I5" s="6"/>
      <c r="J5" s="6"/>
    </row>
    <row r="6" spans="2:10" ht="12">
      <c r="B6" s="1"/>
      <c r="C6" s="2"/>
      <c r="D6" s="3"/>
      <c r="E6" s="4"/>
      <c r="F6" s="3"/>
      <c r="G6" s="5"/>
      <c r="H6" s="5"/>
      <c r="I6" s="6"/>
      <c r="J6" s="6"/>
    </row>
    <row r="7" spans="2:10" ht="28.7" customHeight="1">
      <c r="B7" s="8" t="s">
        <v>0</v>
      </c>
      <c r="C7" s="9" t="s">
        <v>1</v>
      </c>
      <c r="D7" s="8" t="s">
        <v>2</v>
      </c>
      <c r="E7" s="10" t="s">
        <v>3</v>
      </c>
      <c r="F7" s="8" t="s">
        <v>4</v>
      </c>
      <c r="G7" s="8" t="s">
        <v>5</v>
      </c>
      <c r="H7" s="8" t="s">
        <v>5</v>
      </c>
      <c r="I7" s="11" t="s">
        <v>6</v>
      </c>
      <c r="J7" s="11" t="s">
        <v>7</v>
      </c>
    </row>
    <row r="8" spans="2:10" ht="15" customHeight="1">
      <c r="B8" s="61" t="s">
        <v>8</v>
      </c>
      <c r="C8" s="62"/>
      <c r="D8" s="62"/>
      <c r="E8" s="62"/>
      <c r="F8" s="62"/>
      <c r="G8" s="62"/>
      <c r="H8" s="62"/>
      <c r="I8" s="62"/>
      <c r="J8" s="62"/>
    </row>
    <row r="9" spans="2:10" ht="15" customHeight="1">
      <c r="B9" s="16">
        <v>1000000779</v>
      </c>
      <c r="C9" s="17" t="s">
        <v>9</v>
      </c>
      <c r="D9" s="18">
        <v>12</v>
      </c>
      <c r="E9" s="19" t="s">
        <v>10</v>
      </c>
      <c r="F9" s="18" t="s">
        <v>11</v>
      </c>
      <c r="G9" s="20">
        <v>251523</v>
      </c>
      <c r="H9" s="20">
        <f>+G9*30%+G9</f>
        <v>326979.90000000002</v>
      </c>
      <c r="I9" s="21">
        <f>H9*0.21</f>
        <v>68665.77900000001</v>
      </c>
      <c r="J9" s="56">
        <f>I9+H9</f>
        <v>395645.679</v>
      </c>
    </row>
    <row r="10" spans="2:10" ht="15" customHeight="1">
      <c r="B10" s="16">
        <v>1000000780</v>
      </c>
      <c r="C10" s="17" t="s">
        <v>9</v>
      </c>
      <c r="D10" s="18">
        <v>16</v>
      </c>
      <c r="E10" s="19" t="s">
        <v>12</v>
      </c>
      <c r="F10" s="18" t="s">
        <v>11</v>
      </c>
      <c r="G10" s="20">
        <v>309554</v>
      </c>
      <c r="H10" s="20">
        <f t="shared" ref="H10:H73" si="0">+G10*30%+G10</f>
        <v>402420.2</v>
      </c>
      <c r="I10" s="21">
        <f t="shared" ref="I10:I73" si="1">H10*0.21</f>
        <v>84508.241999999998</v>
      </c>
      <c r="J10" s="56">
        <f t="shared" ref="J10:J61" si="2">I10+H10</f>
        <v>486928.44200000004</v>
      </c>
    </row>
    <row r="11" spans="2:10" ht="15" customHeight="1">
      <c r="B11" s="16">
        <v>1000000374</v>
      </c>
      <c r="C11" s="22" t="s">
        <v>13</v>
      </c>
      <c r="D11" s="23">
        <v>16</v>
      </c>
      <c r="E11" s="24" t="s">
        <v>12</v>
      </c>
      <c r="F11" s="23" t="s">
        <v>11</v>
      </c>
      <c r="G11" s="20">
        <v>155338</v>
      </c>
      <c r="H11" s="20">
        <f t="shared" si="0"/>
        <v>201939.4</v>
      </c>
      <c r="I11" s="21">
        <f t="shared" si="1"/>
        <v>42407.273999999998</v>
      </c>
      <c r="J11" s="56">
        <f t="shared" si="2"/>
        <v>244346.674</v>
      </c>
    </row>
    <row r="12" spans="2:10" ht="15" customHeight="1">
      <c r="B12" s="16">
        <v>1000000373</v>
      </c>
      <c r="C12" s="22" t="s">
        <v>13</v>
      </c>
      <c r="D12" s="23">
        <v>12</v>
      </c>
      <c r="E12" s="24" t="s">
        <v>10</v>
      </c>
      <c r="F12" s="23" t="s">
        <v>11</v>
      </c>
      <c r="G12" s="20">
        <v>128449</v>
      </c>
      <c r="H12" s="20">
        <f t="shared" si="0"/>
        <v>166983.70000000001</v>
      </c>
      <c r="I12" s="21">
        <f t="shared" si="1"/>
        <v>35066.577000000005</v>
      </c>
      <c r="J12" s="56">
        <f t="shared" si="2"/>
        <v>202050.277</v>
      </c>
    </row>
    <row r="13" spans="2:10" ht="15" customHeight="1">
      <c r="B13" s="16">
        <v>6000000175</v>
      </c>
      <c r="C13" s="25" t="s">
        <v>14</v>
      </c>
      <c r="D13" s="26">
        <v>16</v>
      </c>
      <c r="E13" s="24" t="s">
        <v>12</v>
      </c>
      <c r="F13" s="23" t="s">
        <v>11</v>
      </c>
      <c r="G13" s="20">
        <v>233884</v>
      </c>
      <c r="H13" s="20">
        <f t="shared" si="0"/>
        <v>304049.2</v>
      </c>
      <c r="I13" s="21">
        <f t="shared" si="1"/>
        <v>63850.332000000002</v>
      </c>
      <c r="J13" s="56">
        <f t="shared" si="2"/>
        <v>367899.53200000001</v>
      </c>
    </row>
    <row r="14" spans="2:10" ht="15" customHeight="1">
      <c r="B14" s="16">
        <v>6000000174</v>
      </c>
      <c r="C14" s="25" t="s">
        <v>14</v>
      </c>
      <c r="D14" s="26">
        <v>12</v>
      </c>
      <c r="E14" s="24" t="s">
        <v>10</v>
      </c>
      <c r="F14" s="23" t="s">
        <v>11</v>
      </c>
      <c r="G14" s="20">
        <v>183252</v>
      </c>
      <c r="H14" s="20">
        <f t="shared" si="0"/>
        <v>238227.6</v>
      </c>
      <c r="I14" s="21">
        <f t="shared" si="1"/>
        <v>50027.796000000002</v>
      </c>
      <c r="J14" s="56">
        <f t="shared" si="2"/>
        <v>288255.39600000001</v>
      </c>
    </row>
    <row r="15" spans="2:10" ht="15" customHeight="1">
      <c r="B15" s="16">
        <v>1000000380</v>
      </c>
      <c r="C15" s="22" t="s">
        <v>15</v>
      </c>
      <c r="D15" s="23">
        <v>8</v>
      </c>
      <c r="E15" s="24" t="s">
        <v>16</v>
      </c>
      <c r="F15" s="23" t="s">
        <v>11</v>
      </c>
      <c r="G15" s="20">
        <v>108062</v>
      </c>
      <c r="H15" s="20">
        <f t="shared" si="0"/>
        <v>140480.6</v>
      </c>
      <c r="I15" s="21">
        <f t="shared" si="1"/>
        <v>29500.925999999999</v>
      </c>
      <c r="J15" s="56">
        <f t="shared" si="2"/>
        <v>169981.52600000001</v>
      </c>
    </row>
    <row r="16" spans="2:10" ht="15" customHeight="1">
      <c r="B16" s="16">
        <v>6000000186</v>
      </c>
      <c r="C16" s="22" t="s">
        <v>15</v>
      </c>
      <c r="D16" s="23">
        <v>16</v>
      </c>
      <c r="E16" s="24" t="s">
        <v>12</v>
      </c>
      <c r="F16" s="23" t="s">
        <v>11</v>
      </c>
      <c r="G16" s="20">
        <v>170508</v>
      </c>
      <c r="H16" s="20">
        <f t="shared" si="0"/>
        <v>221660.4</v>
      </c>
      <c r="I16" s="21">
        <f t="shared" si="1"/>
        <v>46548.683999999994</v>
      </c>
      <c r="J16" s="56">
        <f t="shared" si="2"/>
        <v>268209.08399999997</v>
      </c>
    </row>
    <row r="17" spans="2:13" ht="15" customHeight="1">
      <c r="B17" s="16">
        <v>6000000179</v>
      </c>
      <c r="C17" s="22" t="s">
        <v>17</v>
      </c>
      <c r="D17" s="23">
        <v>16</v>
      </c>
      <c r="E17" s="24" t="s">
        <v>12</v>
      </c>
      <c r="F17" s="23" t="s">
        <v>11</v>
      </c>
      <c r="G17" s="20">
        <v>189453</v>
      </c>
      <c r="H17" s="20">
        <f t="shared" si="0"/>
        <v>246288.9</v>
      </c>
      <c r="I17" s="21">
        <f t="shared" si="1"/>
        <v>51720.668999999994</v>
      </c>
      <c r="J17" s="56">
        <f t="shared" si="2"/>
        <v>298009.56900000002</v>
      </c>
    </row>
    <row r="18" spans="2:13" ht="15" customHeight="1">
      <c r="B18" s="16">
        <v>1000000368</v>
      </c>
      <c r="C18" s="22" t="s">
        <v>17</v>
      </c>
      <c r="D18" s="23">
        <v>12</v>
      </c>
      <c r="E18" s="24" t="s">
        <v>10</v>
      </c>
      <c r="F18" s="23" t="s">
        <v>11</v>
      </c>
      <c r="G18" s="20">
        <v>161719</v>
      </c>
      <c r="H18" s="20">
        <f t="shared" si="0"/>
        <v>210234.7</v>
      </c>
      <c r="I18" s="21">
        <f t="shared" si="1"/>
        <v>44149.287000000004</v>
      </c>
      <c r="J18" s="56">
        <f t="shared" si="2"/>
        <v>254383.98700000002</v>
      </c>
    </row>
    <row r="19" spans="2:13" ht="15" customHeight="1">
      <c r="B19" s="16">
        <v>6000000172</v>
      </c>
      <c r="C19" s="27" t="s">
        <v>18</v>
      </c>
      <c r="D19" s="23">
        <v>16</v>
      </c>
      <c r="E19" s="24" t="s">
        <v>12</v>
      </c>
      <c r="F19" s="23" t="s">
        <v>11</v>
      </c>
      <c r="G19" s="20">
        <v>199833</v>
      </c>
      <c r="H19" s="20">
        <f t="shared" si="0"/>
        <v>259782.9</v>
      </c>
      <c r="I19" s="21">
        <f t="shared" si="1"/>
        <v>54554.409</v>
      </c>
      <c r="J19" s="56">
        <f t="shared" si="2"/>
        <v>314337.30900000001</v>
      </c>
    </row>
    <row r="20" spans="2:13" ht="15" customHeight="1">
      <c r="B20" s="16">
        <v>1000000361</v>
      </c>
      <c r="C20" s="22" t="s">
        <v>19</v>
      </c>
      <c r="D20" s="23">
        <v>205</v>
      </c>
      <c r="E20" s="24" t="s">
        <v>20</v>
      </c>
      <c r="F20" s="23" t="s">
        <v>11</v>
      </c>
      <c r="G20" s="20">
        <v>1638600</v>
      </c>
      <c r="H20" s="20">
        <f t="shared" si="0"/>
        <v>2130180</v>
      </c>
      <c r="I20" s="21">
        <f t="shared" si="1"/>
        <v>447337.8</v>
      </c>
      <c r="J20" s="56">
        <f t="shared" si="2"/>
        <v>2577517.7999999998</v>
      </c>
    </row>
    <row r="21" spans="2:13" ht="15" customHeight="1">
      <c r="B21" s="16">
        <v>1000000357</v>
      </c>
      <c r="C21" s="22" t="s">
        <v>19</v>
      </c>
      <c r="D21" s="23">
        <v>100</v>
      </c>
      <c r="E21" s="24" t="s">
        <v>21</v>
      </c>
      <c r="F21" s="23" t="s">
        <v>11</v>
      </c>
      <c r="G21" s="20">
        <v>842010</v>
      </c>
      <c r="H21" s="20">
        <f t="shared" si="0"/>
        <v>1094613</v>
      </c>
      <c r="I21" s="21">
        <f t="shared" si="1"/>
        <v>229868.72999999998</v>
      </c>
      <c r="J21" s="56">
        <f t="shared" si="2"/>
        <v>1324481.73</v>
      </c>
    </row>
    <row r="22" spans="2:13" ht="15" customHeight="1">
      <c r="B22" s="16">
        <v>1000000360</v>
      </c>
      <c r="C22" s="22" t="s">
        <v>19</v>
      </c>
      <c r="D22" s="23">
        <v>16</v>
      </c>
      <c r="E22" s="24" t="s">
        <v>12</v>
      </c>
      <c r="F22" s="23" t="s">
        <v>11</v>
      </c>
      <c r="G22" s="20">
        <v>151632</v>
      </c>
      <c r="H22" s="20">
        <f t="shared" si="0"/>
        <v>197121.6</v>
      </c>
      <c r="I22" s="21">
        <f t="shared" si="1"/>
        <v>41395.536</v>
      </c>
      <c r="J22" s="56">
        <f t="shared" si="2"/>
        <v>238517.136</v>
      </c>
    </row>
    <row r="23" spans="2:13" ht="15" customHeight="1">
      <c r="B23" s="16">
        <v>1000000359</v>
      </c>
      <c r="C23" s="27" t="s">
        <v>19</v>
      </c>
      <c r="D23" s="23">
        <v>12</v>
      </c>
      <c r="E23" s="24" t="s">
        <v>10</v>
      </c>
      <c r="F23" s="23" t="s">
        <v>11</v>
      </c>
      <c r="G23" s="20">
        <v>133851</v>
      </c>
      <c r="H23" s="20">
        <f t="shared" si="0"/>
        <v>174006.3</v>
      </c>
      <c r="I23" s="21">
        <f t="shared" si="1"/>
        <v>36541.322999999997</v>
      </c>
      <c r="J23" s="56">
        <f t="shared" si="2"/>
        <v>210547.62299999999</v>
      </c>
    </row>
    <row r="24" spans="2:13" ht="15" customHeight="1">
      <c r="B24" s="16">
        <v>1000000348</v>
      </c>
      <c r="C24" s="22" t="s">
        <v>22</v>
      </c>
      <c r="D24" s="23">
        <v>205</v>
      </c>
      <c r="E24" s="24" t="s">
        <v>20</v>
      </c>
      <c r="F24" s="23" t="s">
        <v>11</v>
      </c>
      <c r="G24" s="20">
        <v>1623998</v>
      </c>
      <c r="H24" s="20">
        <f t="shared" si="0"/>
        <v>2111197.4</v>
      </c>
      <c r="I24" s="21">
        <f t="shared" si="1"/>
        <v>443351.45399999997</v>
      </c>
      <c r="J24" s="56">
        <f t="shared" si="2"/>
        <v>2554548.8539999998</v>
      </c>
      <c r="K24"/>
      <c r="M24"/>
    </row>
    <row r="25" spans="2:13" ht="15" customHeight="1">
      <c r="B25" s="16">
        <v>1000000002</v>
      </c>
      <c r="C25" s="22" t="s">
        <v>22</v>
      </c>
      <c r="D25" s="23">
        <v>100</v>
      </c>
      <c r="E25" s="24" t="s">
        <v>21</v>
      </c>
      <c r="F25" s="23" t="s">
        <v>11</v>
      </c>
      <c r="G25" s="20">
        <v>834887</v>
      </c>
      <c r="H25" s="20">
        <f t="shared" si="0"/>
        <v>1085353.1000000001</v>
      </c>
      <c r="I25" s="21">
        <f t="shared" si="1"/>
        <v>227924.15100000001</v>
      </c>
      <c r="J25" s="56">
        <f t="shared" si="2"/>
        <v>1313277.2510000002</v>
      </c>
      <c r="K25"/>
      <c r="M25"/>
    </row>
    <row r="26" spans="2:13" ht="15" customHeight="1">
      <c r="B26" s="16">
        <v>1000000347</v>
      </c>
      <c r="C26" s="22" t="s">
        <v>22</v>
      </c>
      <c r="D26" s="23">
        <v>16</v>
      </c>
      <c r="E26" s="24" t="s">
        <v>12</v>
      </c>
      <c r="F26" s="23" t="s">
        <v>11</v>
      </c>
      <c r="G26" s="20">
        <v>151146</v>
      </c>
      <c r="H26" s="20">
        <f t="shared" si="0"/>
        <v>196489.8</v>
      </c>
      <c r="I26" s="21">
        <f t="shared" si="1"/>
        <v>41262.857999999993</v>
      </c>
      <c r="J26" s="56">
        <f t="shared" si="2"/>
        <v>237752.658</v>
      </c>
      <c r="K26"/>
      <c r="M26"/>
    </row>
    <row r="27" spans="2:13" ht="15" customHeight="1">
      <c r="B27" s="16">
        <v>1000000346</v>
      </c>
      <c r="C27" s="22" t="s">
        <v>22</v>
      </c>
      <c r="D27" s="23">
        <v>12</v>
      </c>
      <c r="E27" s="24" t="s">
        <v>10</v>
      </c>
      <c r="F27" s="23" t="s">
        <v>11</v>
      </c>
      <c r="G27" s="20">
        <v>132987</v>
      </c>
      <c r="H27" s="20">
        <f t="shared" si="0"/>
        <v>172883.1</v>
      </c>
      <c r="I27" s="21">
        <f t="shared" si="1"/>
        <v>36305.451000000001</v>
      </c>
      <c r="J27" s="56">
        <f t="shared" si="2"/>
        <v>209188.55100000001</v>
      </c>
      <c r="K27"/>
      <c r="M27"/>
    </row>
    <row r="28" spans="2:13" ht="15" customHeight="1">
      <c r="B28" s="16">
        <v>1000000367</v>
      </c>
      <c r="C28" s="25" t="s">
        <v>23</v>
      </c>
      <c r="D28" s="23">
        <v>205</v>
      </c>
      <c r="E28" s="24" t="s">
        <v>20</v>
      </c>
      <c r="F28" s="23" t="s">
        <v>11</v>
      </c>
      <c r="G28" s="20">
        <v>1621007</v>
      </c>
      <c r="H28" s="20">
        <f t="shared" si="0"/>
        <v>2107309.1</v>
      </c>
      <c r="I28" s="21">
        <f t="shared" si="1"/>
        <v>442534.91100000002</v>
      </c>
      <c r="J28" s="56">
        <f t="shared" si="2"/>
        <v>2549844.0109999999</v>
      </c>
      <c r="K28"/>
      <c r="M28"/>
    </row>
    <row r="29" spans="2:13" ht="15" customHeight="1">
      <c r="B29" s="16">
        <v>1000000364</v>
      </c>
      <c r="C29" s="25" t="s">
        <v>23</v>
      </c>
      <c r="D29" s="23">
        <v>100</v>
      </c>
      <c r="E29" s="24" t="s">
        <v>21</v>
      </c>
      <c r="F29" s="23" t="s">
        <v>11</v>
      </c>
      <c r="G29" s="20">
        <v>833428</v>
      </c>
      <c r="H29" s="20">
        <f t="shared" si="0"/>
        <v>1083456.3999999999</v>
      </c>
      <c r="I29" s="21">
        <f t="shared" si="1"/>
        <v>227525.84399999998</v>
      </c>
      <c r="J29" s="56">
        <f t="shared" si="2"/>
        <v>1310982.2439999999</v>
      </c>
      <c r="K29"/>
      <c r="M29"/>
    </row>
    <row r="30" spans="2:13" ht="15" customHeight="1">
      <c r="B30" s="16">
        <v>1000000366</v>
      </c>
      <c r="C30" s="25" t="s">
        <v>23</v>
      </c>
      <c r="D30" s="23">
        <v>16</v>
      </c>
      <c r="E30" s="24" t="s">
        <v>12</v>
      </c>
      <c r="F30" s="23" t="s">
        <v>11</v>
      </c>
      <c r="G30" s="20">
        <v>150910</v>
      </c>
      <c r="H30" s="20">
        <f t="shared" si="0"/>
        <v>196183</v>
      </c>
      <c r="I30" s="21">
        <f t="shared" si="1"/>
        <v>41198.43</v>
      </c>
      <c r="J30" s="56">
        <f t="shared" si="2"/>
        <v>237381.43</v>
      </c>
    </row>
    <row r="31" spans="2:13" ht="15" customHeight="1">
      <c r="B31" s="16">
        <v>1000000365</v>
      </c>
      <c r="C31" s="25" t="s">
        <v>23</v>
      </c>
      <c r="D31" s="23">
        <v>12</v>
      </c>
      <c r="E31" s="24" t="s">
        <v>10</v>
      </c>
      <c r="F31" s="23" t="s">
        <v>11</v>
      </c>
      <c r="G31" s="20">
        <v>132811</v>
      </c>
      <c r="H31" s="20">
        <f t="shared" si="0"/>
        <v>172654.3</v>
      </c>
      <c r="I31" s="21">
        <f t="shared" si="1"/>
        <v>36257.402999999998</v>
      </c>
      <c r="J31" s="56">
        <f t="shared" si="2"/>
        <v>208911.70299999998</v>
      </c>
    </row>
    <row r="32" spans="2:13" ht="15" customHeight="1">
      <c r="B32" s="16">
        <v>1000000250</v>
      </c>
      <c r="C32" s="22" t="s">
        <v>24</v>
      </c>
      <c r="D32" s="23">
        <v>205</v>
      </c>
      <c r="E32" s="24" t="s">
        <v>20</v>
      </c>
      <c r="F32" s="23" t="s">
        <v>25</v>
      </c>
      <c r="G32" s="20">
        <v>1199162</v>
      </c>
      <c r="H32" s="20">
        <f t="shared" si="0"/>
        <v>1558910.6</v>
      </c>
      <c r="I32" s="21">
        <f t="shared" si="1"/>
        <v>327371.22600000002</v>
      </c>
      <c r="J32" s="56">
        <f t="shared" si="2"/>
        <v>1886281.8260000001</v>
      </c>
    </row>
    <row r="33" spans="2:10" ht="15" customHeight="1">
      <c r="B33" s="16">
        <v>1000000247</v>
      </c>
      <c r="C33" s="22" t="s">
        <v>24</v>
      </c>
      <c r="D33" s="23">
        <v>20</v>
      </c>
      <c r="E33" s="24" t="s">
        <v>26</v>
      </c>
      <c r="F33" s="23" t="s">
        <v>25</v>
      </c>
      <c r="G33" s="20">
        <v>126915</v>
      </c>
      <c r="H33" s="20">
        <f t="shared" si="0"/>
        <v>164989.5</v>
      </c>
      <c r="I33" s="21">
        <f t="shared" si="1"/>
        <v>34647.794999999998</v>
      </c>
      <c r="J33" s="56">
        <f t="shared" si="2"/>
        <v>199637.29499999998</v>
      </c>
    </row>
    <row r="34" spans="2:10" ht="15" customHeight="1">
      <c r="B34" s="16">
        <v>1000000249</v>
      </c>
      <c r="C34" s="22" t="s">
        <v>24</v>
      </c>
      <c r="D34" s="23">
        <v>16</v>
      </c>
      <c r="E34" s="24" t="s">
        <v>12</v>
      </c>
      <c r="F34" s="23" t="s">
        <v>25</v>
      </c>
      <c r="G34" s="20">
        <v>109614</v>
      </c>
      <c r="H34" s="20">
        <f t="shared" si="0"/>
        <v>142498.20000000001</v>
      </c>
      <c r="I34" s="21">
        <f t="shared" si="1"/>
        <v>29924.622000000003</v>
      </c>
      <c r="J34" s="56">
        <f t="shared" si="2"/>
        <v>172422.82200000001</v>
      </c>
    </row>
    <row r="35" spans="2:10" ht="15" customHeight="1">
      <c r="B35" s="16">
        <v>1000000248</v>
      </c>
      <c r="C35" s="22" t="s">
        <v>24</v>
      </c>
      <c r="D35" s="23">
        <v>12</v>
      </c>
      <c r="E35" s="24" t="s">
        <v>10</v>
      </c>
      <c r="F35" s="23" t="s">
        <v>25</v>
      </c>
      <c r="G35" s="20">
        <v>95132</v>
      </c>
      <c r="H35" s="20">
        <f t="shared" si="0"/>
        <v>123671.6</v>
      </c>
      <c r="I35" s="21">
        <f t="shared" si="1"/>
        <v>25971.036</v>
      </c>
      <c r="J35" s="56">
        <f t="shared" si="2"/>
        <v>149642.636</v>
      </c>
    </row>
    <row r="36" spans="2:10" ht="15" customHeight="1">
      <c r="B36" s="16">
        <v>1000000383</v>
      </c>
      <c r="C36" s="22" t="s">
        <v>27</v>
      </c>
      <c r="D36" s="23">
        <v>20</v>
      </c>
      <c r="E36" s="24" t="s">
        <v>20</v>
      </c>
      <c r="F36" s="23" t="s">
        <v>25</v>
      </c>
      <c r="G36" s="20">
        <v>106076</v>
      </c>
      <c r="H36" s="20">
        <f t="shared" si="0"/>
        <v>137898.79999999999</v>
      </c>
      <c r="I36" s="21">
        <f t="shared" si="1"/>
        <v>28958.747999999996</v>
      </c>
      <c r="J36" s="56">
        <f t="shared" si="2"/>
        <v>166857.54799999998</v>
      </c>
    </row>
    <row r="37" spans="2:10" ht="15" customHeight="1">
      <c r="B37" s="16">
        <v>1000000385</v>
      </c>
      <c r="C37" s="22" t="s">
        <v>27</v>
      </c>
      <c r="D37" s="23">
        <v>16</v>
      </c>
      <c r="E37" s="24" t="s">
        <v>12</v>
      </c>
      <c r="F37" s="23" t="s">
        <v>25</v>
      </c>
      <c r="G37" s="20">
        <v>116903</v>
      </c>
      <c r="H37" s="20">
        <f t="shared" si="0"/>
        <v>151973.9</v>
      </c>
      <c r="I37" s="21">
        <f t="shared" si="1"/>
        <v>31914.518999999997</v>
      </c>
      <c r="J37" s="56">
        <f t="shared" si="2"/>
        <v>183888.41899999999</v>
      </c>
    </row>
    <row r="38" spans="2:10" ht="15" customHeight="1">
      <c r="B38" s="16">
        <v>1000000384</v>
      </c>
      <c r="C38" s="22" t="s">
        <v>27</v>
      </c>
      <c r="D38" s="23">
        <v>12</v>
      </c>
      <c r="E38" s="24" t="s">
        <v>10</v>
      </c>
      <c r="F38" s="23" t="s">
        <v>25</v>
      </c>
      <c r="G38" s="20">
        <v>103109</v>
      </c>
      <c r="H38" s="20">
        <f t="shared" si="0"/>
        <v>134041.70000000001</v>
      </c>
      <c r="I38" s="21">
        <f t="shared" si="1"/>
        <v>28148.757000000001</v>
      </c>
      <c r="J38" s="56">
        <f t="shared" si="2"/>
        <v>162190.45700000002</v>
      </c>
    </row>
    <row r="39" spans="2:10" ht="15" customHeight="1">
      <c r="B39" s="16">
        <v>1000000386</v>
      </c>
      <c r="C39" s="22" t="s">
        <v>27</v>
      </c>
      <c r="D39" s="23">
        <v>205</v>
      </c>
      <c r="E39" s="24" t="s">
        <v>20</v>
      </c>
      <c r="F39" s="23" t="s">
        <v>25</v>
      </c>
      <c r="G39" s="20">
        <v>1068210</v>
      </c>
      <c r="H39" s="20">
        <f t="shared" si="0"/>
        <v>1388673</v>
      </c>
      <c r="I39" s="21">
        <f t="shared" si="1"/>
        <v>291621.33</v>
      </c>
      <c r="J39" s="56">
        <f t="shared" si="2"/>
        <v>1680294.33</v>
      </c>
    </row>
    <row r="40" spans="2:10" ht="15" customHeight="1">
      <c r="B40" s="16">
        <v>1000000252</v>
      </c>
      <c r="C40" s="27" t="s">
        <v>28</v>
      </c>
      <c r="D40" s="23">
        <v>205</v>
      </c>
      <c r="E40" s="24" t="s">
        <v>20</v>
      </c>
      <c r="F40" s="23" t="s">
        <v>25</v>
      </c>
      <c r="G40" s="20">
        <v>971215</v>
      </c>
      <c r="H40" s="20">
        <f t="shared" si="0"/>
        <v>1262579.5</v>
      </c>
      <c r="I40" s="21">
        <f t="shared" si="1"/>
        <v>265141.69500000001</v>
      </c>
      <c r="J40" s="56">
        <f t="shared" si="2"/>
        <v>1527721.1950000001</v>
      </c>
    </row>
    <row r="41" spans="2:10" ht="15" customHeight="1">
      <c r="B41" s="16">
        <v>1000000276</v>
      </c>
      <c r="C41" s="22" t="s">
        <v>29</v>
      </c>
      <c r="D41" s="23">
        <v>205</v>
      </c>
      <c r="E41" s="24" t="s">
        <v>20</v>
      </c>
      <c r="F41" s="23" t="s">
        <v>30</v>
      </c>
      <c r="G41" s="20">
        <v>982498</v>
      </c>
      <c r="H41" s="20">
        <f t="shared" si="0"/>
        <v>1277247.3999999999</v>
      </c>
      <c r="I41" s="21">
        <f t="shared" si="1"/>
        <v>268221.95399999997</v>
      </c>
      <c r="J41" s="56">
        <f t="shared" si="2"/>
        <v>1545469.3539999998</v>
      </c>
    </row>
    <row r="42" spans="2:10" ht="15" customHeight="1">
      <c r="B42" s="16">
        <v>1000000273</v>
      </c>
      <c r="C42" s="22" t="s">
        <v>29</v>
      </c>
      <c r="D42" s="23">
        <v>20</v>
      </c>
      <c r="E42" s="24" t="s">
        <v>26</v>
      </c>
      <c r="F42" s="23" t="s">
        <v>30</v>
      </c>
      <c r="G42" s="20">
        <v>98165</v>
      </c>
      <c r="H42" s="20">
        <f t="shared" si="0"/>
        <v>127614.5</v>
      </c>
      <c r="I42" s="21">
        <f t="shared" si="1"/>
        <v>26799.044999999998</v>
      </c>
      <c r="J42" s="56">
        <f t="shared" si="2"/>
        <v>154413.54499999998</v>
      </c>
    </row>
    <row r="43" spans="2:10" ht="15" customHeight="1">
      <c r="B43" s="16">
        <v>1000000275</v>
      </c>
      <c r="C43" s="22" t="s">
        <v>29</v>
      </c>
      <c r="D43" s="23">
        <v>16</v>
      </c>
      <c r="E43" s="24" t="s">
        <v>12</v>
      </c>
      <c r="F43" s="23" t="s">
        <v>30</v>
      </c>
      <c r="G43" s="20">
        <v>89840</v>
      </c>
      <c r="H43" s="20">
        <f t="shared" si="0"/>
        <v>116792</v>
      </c>
      <c r="I43" s="21">
        <f t="shared" si="1"/>
        <v>24526.32</v>
      </c>
      <c r="J43" s="56">
        <f t="shared" si="2"/>
        <v>141318.32</v>
      </c>
    </row>
    <row r="44" spans="2:10" ht="15" customHeight="1">
      <c r="B44" s="16">
        <v>1000000274</v>
      </c>
      <c r="C44" s="22" t="s">
        <v>29</v>
      </c>
      <c r="D44" s="23">
        <v>12</v>
      </c>
      <c r="E44" s="24" t="s">
        <v>10</v>
      </c>
      <c r="F44" s="23" t="s">
        <v>30</v>
      </c>
      <c r="G44" s="20">
        <v>80632</v>
      </c>
      <c r="H44" s="20">
        <f t="shared" si="0"/>
        <v>104821.6</v>
      </c>
      <c r="I44" s="21">
        <f t="shared" si="1"/>
        <v>22012.536</v>
      </c>
      <c r="J44" s="56">
        <f t="shared" si="2"/>
        <v>126834.136</v>
      </c>
    </row>
    <row r="45" spans="2:10" ht="15" customHeight="1">
      <c r="B45" s="16">
        <v>1000000284</v>
      </c>
      <c r="C45" s="22" t="s">
        <v>31</v>
      </c>
      <c r="D45" s="23">
        <v>205</v>
      </c>
      <c r="E45" s="24" t="s">
        <v>20</v>
      </c>
      <c r="F45" s="23" t="s">
        <v>30</v>
      </c>
      <c r="G45" s="20">
        <v>982498</v>
      </c>
      <c r="H45" s="20">
        <f t="shared" si="0"/>
        <v>1277247.3999999999</v>
      </c>
      <c r="I45" s="21">
        <f t="shared" si="1"/>
        <v>268221.95399999997</v>
      </c>
      <c r="J45" s="56">
        <f t="shared" si="2"/>
        <v>1545469.3539999998</v>
      </c>
    </row>
    <row r="46" spans="2:10" ht="15" customHeight="1">
      <c r="B46" s="16">
        <v>1000000283</v>
      </c>
      <c r="C46" s="22" t="s">
        <v>31</v>
      </c>
      <c r="D46" s="23">
        <v>16</v>
      </c>
      <c r="E46" s="24" t="s">
        <v>12</v>
      </c>
      <c r="F46" s="23" t="s">
        <v>30</v>
      </c>
      <c r="G46" s="20">
        <v>89840</v>
      </c>
      <c r="H46" s="20">
        <f t="shared" si="0"/>
        <v>116792</v>
      </c>
      <c r="I46" s="21">
        <f t="shared" si="1"/>
        <v>24526.32</v>
      </c>
      <c r="J46" s="56">
        <f t="shared" si="2"/>
        <v>141318.32</v>
      </c>
    </row>
    <row r="47" spans="2:10" ht="15" customHeight="1">
      <c r="B47" s="16">
        <v>1000000282</v>
      </c>
      <c r="C47" s="22" t="s">
        <v>31</v>
      </c>
      <c r="D47" s="23">
        <v>12</v>
      </c>
      <c r="E47" s="24" t="s">
        <v>10</v>
      </c>
      <c r="F47" s="23" t="s">
        <v>30</v>
      </c>
      <c r="G47" s="20">
        <v>80632</v>
      </c>
      <c r="H47" s="20">
        <f t="shared" si="0"/>
        <v>104821.6</v>
      </c>
      <c r="I47" s="21">
        <f t="shared" si="1"/>
        <v>22012.536</v>
      </c>
      <c r="J47" s="56">
        <f t="shared" si="2"/>
        <v>126834.136</v>
      </c>
    </row>
    <row r="48" spans="2:10" ht="15" customHeight="1">
      <c r="B48" s="16">
        <v>1000000294</v>
      </c>
      <c r="C48" s="22" t="s">
        <v>32</v>
      </c>
      <c r="D48" s="23">
        <v>205</v>
      </c>
      <c r="E48" s="24" t="s">
        <v>20</v>
      </c>
      <c r="F48" s="23" t="s">
        <v>30</v>
      </c>
      <c r="G48" s="20">
        <v>894761</v>
      </c>
      <c r="H48" s="20">
        <f t="shared" si="0"/>
        <v>1163189.3</v>
      </c>
      <c r="I48" s="21">
        <f t="shared" si="1"/>
        <v>244269.753</v>
      </c>
      <c r="J48" s="56">
        <f t="shared" si="2"/>
        <v>1407459.0530000001</v>
      </c>
    </row>
    <row r="49" spans="2:10" ht="15" customHeight="1">
      <c r="B49" s="16">
        <v>1000000291</v>
      </c>
      <c r="C49" s="22" t="s">
        <v>32</v>
      </c>
      <c r="D49" s="23">
        <v>20</v>
      </c>
      <c r="E49" s="24" t="s">
        <v>26</v>
      </c>
      <c r="F49" s="23" t="s">
        <v>30</v>
      </c>
      <c r="G49" s="20">
        <v>93844</v>
      </c>
      <c r="H49" s="20">
        <f t="shared" si="0"/>
        <v>121997.2</v>
      </c>
      <c r="I49" s="21">
        <f t="shared" si="1"/>
        <v>25619.411999999997</v>
      </c>
      <c r="J49" s="56">
        <f t="shared" si="2"/>
        <v>147616.61199999999</v>
      </c>
    </row>
    <row r="50" spans="2:10" ht="15" customHeight="1">
      <c r="B50" s="16">
        <v>1000000293</v>
      </c>
      <c r="C50" s="22" t="s">
        <v>32</v>
      </c>
      <c r="D50" s="23">
        <v>16</v>
      </c>
      <c r="E50" s="24" t="s">
        <v>12</v>
      </c>
      <c r="F50" s="23" t="s">
        <v>30</v>
      </c>
      <c r="G50" s="20">
        <v>81343</v>
      </c>
      <c r="H50" s="20">
        <f t="shared" si="0"/>
        <v>105745.9</v>
      </c>
      <c r="I50" s="21">
        <f t="shared" si="1"/>
        <v>22206.638999999999</v>
      </c>
      <c r="J50" s="56">
        <f t="shared" si="2"/>
        <v>127952.53899999999</v>
      </c>
    </row>
    <row r="51" spans="2:10" ht="15" customHeight="1">
      <c r="B51" s="16">
        <v>1000000292</v>
      </c>
      <c r="C51" s="22" t="s">
        <v>32</v>
      </c>
      <c r="D51" s="23">
        <v>12</v>
      </c>
      <c r="E51" s="24" t="s">
        <v>10</v>
      </c>
      <c r="F51" s="23" t="s">
        <v>30</v>
      </c>
      <c r="G51" s="20">
        <v>67170</v>
      </c>
      <c r="H51" s="20">
        <f t="shared" si="0"/>
        <v>87321</v>
      </c>
      <c r="I51" s="21">
        <f t="shared" si="1"/>
        <v>18337.41</v>
      </c>
      <c r="J51" s="56">
        <f t="shared" si="2"/>
        <v>105658.41</v>
      </c>
    </row>
    <row r="52" spans="2:10" ht="15" customHeight="1">
      <c r="B52" s="16">
        <v>1000000650</v>
      </c>
      <c r="C52" s="22" t="s">
        <v>32</v>
      </c>
      <c r="D52" s="23">
        <v>1000</v>
      </c>
      <c r="E52" s="24" t="s">
        <v>33</v>
      </c>
      <c r="F52" s="23" t="s">
        <v>30</v>
      </c>
      <c r="G52" s="20">
        <v>4280714</v>
      </c>
      <c r="H52" s="20">
        <f t="shared" si="0"/>
        <v>5564928.2000000002</v>
      </c>
      <c r="I52" s="21">
        <f t="shared" si="1"/>
        <v>1168634.922</v>
      </c>
      <c r="J52" s="56">
        <f t="shared" si="2"/>
        <v>6733563.1220000004</v>
      </c>
    </row>
    <row r="53" spans="2:10" ht="15" customHeight="1">
      <c r="B53" s="16">
        <v>1000000289</v>
      </c>
      <c r="C53" s="22" t="s">
        <v>34</v>
      </c>
      <c r="D53" s="23">
        <v>205</v>
      </c>
      <c r="E53" s="24" t="s">
        <v>20</v>
      </c>
      <c r="F53" s="23" t="s">
        <v>30</v>
      </c>
      <c r="G53" s="20">
        <v>894761</v>
      </c>
      <c r="H53" s="20">
        <f t="shared" si="0"/>
        <v>1163189.3</v>
      </c>
      <c r="I53" s="21">
        <f t="shared" si="1"/>
        <v>244269.753</v>
      </c>
      <c r="J53" s="56">
        <f t="shared" si="2"/>
        <v>1407459.0530000001</v>
      </c>
    </row>
    <row r="54" spans="2:10" ht="15" customHeight="1">
      <c r="B54" s="16">
        <v>1000000286</v>
      </c>
      <c r="C54" s="22" t="s">
        <v>34</v>
      </c>
      <c r="D54" s="23">
        <v>20</v>
      </c>
      <c r="E54" s="24" t="s">
        <v>26</v>
      </c>
      <c r="F54" s="23" t="s">
        <v>30</v>
      </c>
      <c r="G54" s="20">
        <v>93844</v>
      </c>
      <c r="H54" s="20">
        <f t="shared" si="0"/>
        <v>121997.2</v>
      </c>
      <c r="I54" s="21">
        <f t="shared" si="1"/>
        <v>25619.411999999997</v>
      </c>
      <c r="J54" s="56">
        <f t="shared" si="2"/>
        <v>147616.61199999999</v>
      </c>
    </row>
    <row r="55" spans="2:10" ht="15" customHeight="1">
      <c r="B55" s="16">
        <v>1000000288</v>
      </c>
      <c r="C55" s="22" t="s">
        <v>34</v>
      </c>
      <c r="D55" s="23">
        <v>16</v>
      </c>
      <c r="E55" s="24" t="s">
        <v>12</v>
      </c>
      <c r="F55" s="23" t="s">
        <v>30</v>
      </c>
      <c r="G55" s="20">
        <v>81343</v>
      </c>
      <c r="H55" s="20">
        <f t="shared" si="0"/>
        <v>105745.9</v>
      </c>
      <c r="I55" s="21">
        <f t="shared" si="1"/>
        <v>22206.638999999999</v>
      </c>
      <c r="J55" s="56">
        <f t="shared" si="2"/>
        <v>127952.53899999999</v>
      </c>
    </row>
    <row r="56" spans="2:10" ht="15" customHeight="1">
      <c r="B56" s="16">
        <v>1000000287</v>
      </c>
      <c r="C56" s="22" t="s">
        <v>34</v>
      </c>
      <c r="D56" s="23">
        <v>12</v>
      </c>
      <c r="E56" s="24" t="s">
        <v>10</v>
      </c>
      <c r="F56" s="23" t="s">
        <v>30</v>
      </c>
      <c r="G56" s="20">
        <v>67170</v>
      </c>
      <c r="H56" s="20">
        <f t="shared" si="0"/>
        <v>87321</v>
      </c>
      <c r="I56" s="21">
        <f t="shared" si="1"/>
        <v>18337.41</v>
      </c>
      <c r="J56" s="56">
        <f t="shared" si="2"/>
        <v>105658.41</v>
      </c>
    </row>
    <row r="57" spans="2:10" ht="15" customHeight="1">
      <c r="B57" s="16">
        <v>1000000649</v>
      </c>
      <c r="C57" s="22" t="s">
        <v>34</v>
      </c>
      <c r="D57" s="23">
        <v>1000</v>
      </c>
      <c r="E57" s="24" t="s">
        <v>33</v>
      </c>
      <c r="F57" s="23" t="s">
        <v>30</v>
      </c>
      <c r="G57" s="20">
        <v>4396365</v>
      </c>
      <c r="H57" s="20">
        <f t="shared" si="0"/>
        <v>5715274.5</v>
      </c>
      <c r="I57" s="21">
        <f t="shared" si="1"/>
        <v>1200207.645</v>
      </c>
      <c r="J57" s="56">
        <f t="shared" si="2"/>
        <v>6915482.1449999996</v>
      </c>
    </row>
    <row r="58" spans="2:10" ht="15" customHeight="1">
      <c r="B58" s="16">
        <v>1000000299</v>
      </c>
      <c r="C58" s="22" t="s">
        <v>35</v>
      </c>
      <c r="D58" s="23">
        <v>205</v>
      </c>
      <c r="E58" s="24" t="s">
        <v>20</v>
      </c>
      <c r="F58" s="23" t="s">
        <v>30</v>
      </c>
      <c r="G58" s="20">
        <v>969979</v>
      </c>
      <c r="H58" s="20">
        <f t="shared" si="0"/>
        <v>1260972.7</v>
      </c>
      <c r="I58" s="21">
        <f t="shared" si="1"/>
        <v>264804.26699999999</v>
      </c>
      <c r="J58" s="56">
        <f t="shared" si="2"/>
        <v>1525776.9669999999</v>
      </c>
    </row>
    <row r="59" spans="2:10" ht="15" customHeight="1">
      <c r="B59" s="16">
        <v>1000000296</v>
      </c>
      <c r="C59" s="22" t="s">
        <v>35</v>
      </c>
      <c r="D59" s="23">
        <v>20</v>
      </c>
      <c r="E59" s="24" t="s">
        <v>26</v>
      </c>
      <c r="F59" s="23" t="s">
        <v>30</v>
      </c>
      <c r="G59" s="20">
        <v>98722</v>
      </c>
      <c r="H59" s="20">
        <f t="shared" si="0"/>
        <v>128338.6</v>
      </c>
      <c r="I59" s="21">
        <f t="shared" si="1"/>
        <v>26951.106</v>
      </c>
      <c r="J59" s="56">
        <f t="shared" si="2"/>
        <v>155289.70600000001</v>
      </c>
    </row>
    <row r="60" spans="2:10" ht="15" customHeight="1">
      <c r="B60" s="16">
        <v>1000000298</v>
      </c>
      <c r="C60" s="22" t="s">
        <v>35</v>
      </c>
      <c r="D60" s="23">
        <v>16</v>
      </c>
      <c r="E60" s="24" t="s">
        <v>12</v>
      </c>
      <c r="F60" s="23" t="s">
        <v>30</v>
      </c>
      <c r="G60" s="20">
        <v>86931</v>
      </c>
      <c r="H60" s="20">
        <f t="shared" si="0"/>
        <v>113010.3</v>
      </c>
      <c r="I60" s="21">
        <f t="shared" si="1"/>
        <v>23732.163</v>
      </c>
      <c r="J60" s="56">
        <f t="shared" si="2"/>
        <v>136742.46299999999</v>
      </c>
    </row>
    <row r="61" spans="2:10" ht="15" customHeight="1">
      <c r="B61" s="16">
        <v>1000000297</v>
      </c>
      <c r="C61" s="22" t="s">
        <v>35</v>
      </c>
      <c r="D61" s="23">
        <v>12</v>
      </c>
      <c r="E61" s="24" t="s">
        <v>10</v>
      </c>
      <c r="F61" s="23" t="s">
        <v>30</v>
      </c>
      <c r="G61" s="20">
        <v>71997</v>
      </c>
      <c r="H61" s="20">
        <f t="shared" si="0"/>
        <v>93596.1</v>
      </c>
      <c r="I61" s="21">
        <f t="shared" si="1"/>
        <v>19655.181</v>
      </c>
      <c r="J61" s="56">
        <f t="shared" si="2"/>
        <v>113251.281</v>
      </c>
    </row>
    <row r="62" spans="2:10" ht="15" customHeight="1">
      <c r="B62" s="63" t="s">
        <v>36</v>
      </c>
      <c r="C62" s="64"/>
      <c r="D62" s="64"/>
      <c r="E62" s="64"/>
      <c r="F62" s="64"/>
      <c r="G62" s="64"/>
      <c r="H62" s="64"/>
      <c r="I62" s="64"/>
      <c r="J62" s="64"/>
    </row>
    <row r="63" spans="2:10" ht="15" customHeight="1">
      <c r="B63" s="16">
        <v>6000000164</v>
      </c>
      <c r="C63" s="22" t="s">
        <v>37</v>
      </c>
      <c r="D63" s="23">
        <v>208</v>
      </c>
      <c r="E63" s="24" t="s">
        <v>38</v>
      </c>
      <c r="F63" s="23" t="s">
        <v>25</v>
      </c>
      <c r="G63" s="20">
        <v>1579482</v>
      </c>
      <c r="H63" s="20">
        <f t="shared" si="0"/>
        <v>2053326.6</v>
      </c>
      <c r="I63" s="21">
        <f t="shared" si="1"/>
        <v>431198.58600000001</v>
      </c>
      <c r="J63" s="56">
        <f t="shared" ref="J63" si="3">I63+H63</f>
        <v>2484525.1860000002</v>
      </c>
    </row>
    <row r="64" spans="2:10" ht="15" customHeight="1">
      <c r="B64" s="16">
        <v>1000000268</v>
      </c>
      <c r="C64" s="22" t="s">
        <v>39</v>
      </c>
      <c r="D64" s="23">
        <v>205</v>
      </c>
      <c r="E64" s="24" t="s">
        <v>20</v>
      </c>
      <c r="F64" s="23" t="s">
        <v>30</v>
      </c>
      <c r="G64" s="20">
        <v>980367</v>
      </c>
      <c r="H64" s="20">
        <f t="shared" si="0"/>
        <v>1274477.1000000001</v>
      </c>
      <c r="I64" s="21">
        <f t="shared" si="1"/>
        <v>267640.19099999999</v>
      </c>
      <c r="J64" s="56">
        <f t="shared" ref="J64:J84" si="4">I64+H64</f>
        <v>1542117.2910000002</v>
      </c>
    </row>
    <row r="65" spans="2:10" ht="15" customHeight="1">
      <c r="B65" s="16">
        <v>1000000264</v>
      </c>
      <c r="C65" s="22" t="s">
        <v>39</v>
      </c>
      <c r="D65" s="23">
        <v>20</v>
      </c>
      <c r="E65" s="24" t="s">
        <v>26</v>
      </c>
      <c r="F65" s="23" t="s">
        <v>30</v>
      </c>
      <c r="G65" s="20">
        <v>99034</v>
      </c>
      <c r="H65" s="20">
        <f t="shared" si="0"/>
        <v>128744.2</v>
      </c>
      <c r="I65" s="21">
        <f t="shared" si="1"/>
        <v>27036.281999999999</v>
      </c>
      <c r="J65" s="56">
        <f t="shared" si="4"/>
        <v>155780.48199999999</v>
      </c>
    </row>
    <row r="66" spans="2:10" ht="15" customHeight="1">
      <c r="B66" s="16">
        <v>1000000265</v>
      </c>
      <c r="C66" s="22" t="s">
        <v>39</v>
      </c>
      <c r="D66" s="23">
        <v>20</v>
      </c>
      <c r="E66" s="24" t="s">
        <v>40</v>
      </c>
      <c r="F66" s="23" t="s">
        <v>30</v>
      </c>
      <c r="G66" s="20">
        <v>86950</v>
      </c>
      <c r="H66" s="20">
        <f t="shared" si="0"/>
        <v>113035</v>
      </c>
      <c r="I66" s="21">
        <f t="shared" si="1"/>
        <v>23737.35</v>
      </c>
      <c r="J66" s="56">
        <f t="shared" si="4"/>
        <v>136772.35</v>
      </c>
    </row>
    <row r="67" spans="2:10" ht="15" customHeight="1">
      <c r="B67" s="16">
        <v>1000000263</v>
      </c>
      <c r="C67" s="22" t="s">
        <v>39</v>
      </c>
      <c r="D67" s="23">
        <v>10</v>
      </c>
      <c r="E67" s="24" t="s">
        <v>41</v>
      </c>
      <c r="F67" s="23" t="s">
        <v>30</v>
      </c>
      <c r="G67" s="20">
        <v>53643</v>
      </c>
      <c r="H67" s="20">
        <f t="shared" si="0"/>
        <v>69735.899999999994</v>
      </c>
      <c r="I67" s="21">
        <f t="shared" si="1"/>
        <v>14644.538999999999</v>
      </c>
      <c r="J67" s="56">
        <f t="shared" si="4"/>
        <v>84380.438999999998</v>
      </c>
    </row>
    <row r="68" spans="2:10" ht="15" customHeight="1">
      <c r="B68" s="16">
        <v>1000000267</v>
      </c>
      <c r="C68" s="22" t="s">
        <v>39</v>
      </c>
      <c r="D68" s="23">
        <v>16</v>
      </c>
      <c r="E68" s="24" t="s">
        <v>12</v>
      </c>
      <c r="F68" s="23" t="s">
        <v>30</v>
      </c>
      <c r="G68" s="20">
        <v>90246</v>
      </c>
      <c r="H68" s="20">
        <f t="shared" si="0"/>
        <v>117319.8</v>
      </c>
      <c r="I68" s="21">
        <f t="shared" si="1"/>
        <v>24637.157999999999</v>
      </c>
      <c r="J68" s="56">
        <f t="shared" si="4"/>
        <v>141956.95800000001</v>
      </c>
    </row>
    <row r="69" spans="2:10" ht="15" customHeight="1">
      <c r="B69" s="16">
        <v>1000000266</v>
      </c>
      <c r="C69" s="22" t="s">
        <v>39</v>
      </c>
      <c r="D69" s="23">
        <v>12</v>
      </c>
      <c r="E69" s="24" t="s">
        <v>10</v>
      </c>
      <c r="F69" s="23" t="s">
        <v>30</v>
      </c>
      <c r="G69" s="20">
        <v>73960</v>
      </c>
      <c r="H69" s="20">
        <f t="shared" si="0"/>
        <v>96148</v>
      </c>
      <c r="I69" s="21">
        <f t="shared" si="1"/>
        <v>20191.079999999998</v>
      </c>
      <c r="J69" s="56">
        <f t="shared" si="4"/>
        <v>116339.08</v>
      </c>
    </row>
    <row r="70" spans="2:10" ht="15" customHeight="1">
      <c r="B70" s="16">
        <v>1000000269</v>
      </c>
      <c r="C70" s="22" t="s">
        <v>39</v>
      </c>
      <c r="D70" s="23">
        <v>1000</v>
      </c>
      <c r="E70" s="24" t="s">
        <v>33</v>
      </c>
      <c r="F70" s="23" t="s">
        <v>30</v>
      </c>
      <c r="G70" s="20">
        <v>4597391</v>
      </c>
      <c r="H70" s="20">
        <f t="shared" si="0"/>
        <v>5976608.2999999998</v>
      </c>
      <c r="I70" s="21">
        <f t="shared" si="1"/>
        <v>1255087.743</v>
      </c>
      <c r="J70" s="56">
        <f t="shared" si="4"/>
        <v>7231696.0429999996</v>
      </c>
    </row>
    <row r="71" spans="2:10" ht="15" customHeight="1">
      <c r="B71" s="16">
        <v>1000000278</v>
      </c>
      <c r="C71" s="22" t="s">
        <v>42</v>
      </c>
      <c r="D71" s="23">
        <v>20</v>
      </c>
      <c r="E71" s="24" t="s">
        <v>26</v>
      </c>
      <c r="F71" s="23" t="s">
        <v>30</v>
      </c>
      <c r="G71" s="20">
        <v>101626</v>
      </c>
      <c r="H71" s="20">
        <f t="shared" si="0"/>
        <v>132113.79999999999</v>
      </c>
      <c r="I71" s="21">
        <f t="shared" si="1"/>
        <v>27743.897999999997</v>
      </c>
      <c r="J71" s="56">
        <f t="shared" si="4"/>
        <v>159857.69799999997</v>
      </c>
    </row>
    <row r="72" spans="2:10" ht="15" customHeight="1">
      <c r="B72" s="16">
        <v>1000000301</v>
      </c>
      <c r="C72" s="22" t="s">
        <v>43</v>
      </c>
      <c r="D72" s="23">
        <v>20</v>
      </c>
      <c r="E72" s="24" t="s">
        <v>26</v>
      </c>
      <c r="F72" s="23" t="s">
        <v>30</v>
      </c>
      <c r="G72" s="20">
        <v>110441</v>
      </c>
      <c r="H72" s="20">
        <f t="shared" si="0"/>
        <v>143573.29999999999</v>
      </c>
      <c r="I72" s="21">
        <f t="shared" si="1"/>
        <v>30150.392999999996</v>
      </c>
      <c r="J72" s="56">
        <f t="shared" si="4"/>
        <v>173723.69299999997</v>
      </c>
    </row>
    <row r="73" spans="2:10" ht="15" customHeight="1">
      <c r="B73" s="16">
        <v>1000000302</v>
      </c>
      <c r="C73" s="22" t="s">
        <v>43</v>
      </c>
      <c r="D73" s="23">
        <v>205</v>
      </c>
      <c r="E73" s="24" t="s">
        <v>20</v>
      </c>
      <c r="F73" s="23" t="s">
        <v>30</v>
      </c>
      <c r="G73" s="20">
        <v>1020406</v>
      </c>
      <c r="H73" s="20">
        <f t="shared" si="0"/>
        <v>1326527.8</v>
      </c>
      <c r="I73" s="21">
        <f t="shared" si="1"/>
        <v>278570.83799999999</v>
      </c>
      <c r="J73" s="56">
        <f t="shared" si="4"/>
        <v>1605098.638</v>
      </c>
    </row>
    <row r="74" spans="2:10" ht="15" customHeight="1">
      <c r="B74" s="16">
        <v>1000000305</v>
      </c>
      <c r="C74" s="22" t="s">
        <v>44</v>
      </c>
      <c r="D74" s="23">
        <v>205</v>
      </c>
      <c r="E74" s="24" t="s">
        <v>20</v>
      </c>
      <c r="F74" s="23" t="s">
        <v>30</v>
      </c>
      <c r="G74" s="20">
        <v>987727</v>
      </c>
      <c r="H74" s="20">
        <f t="shared" ref="H74:H137" si="5">+G74*30%+G74</f>
        <v>1284045.1000000001</v>
      </c>
      <c r="I74" s="21">
        <f t="shared" ref="I74:I137" si="6">H74*0.21</f>
        <v>269649.47100000002</v>
      </c>
      <c r="J74" s="56">
        <f t="shared" si="4"/>
        <v>1553694.571</v>
      </c>
    </row>
    <row r="75" spans="2:10" ht="15" customHeight="1">
      <c r="B75" s="16">
        <v>1000000304</v>
      </c>
      <c r="C75" s="22" t="s">
        <v>44</v>
      </c>
      <c r="D75" s="23">
        <v>20</v>
      </c>
      <c r="E75" s="24" t="s">
        <v>26</v>
      </c>
      <c r="F75" s="23" t="s">
        <v>30</v>
      </c>
      <c r="G75" s="20">
        <v>99753</v>
      </c>
      <c r="H75" s="20">
        <f t="shared" si="5"/>
        <v>129678.9</v>
      </c>
      <c r="I75" s="21">
        <f t="shared" si="6"/>
        <v>27232.569</v>
      </c>
      <c r="J75" s="56">
        <f t="shared" si="4"/>
        <v>156911.46899999998</v>
      </c>
    </row>
    <row r="76" spans="2:10" ht="15" customHeight="1">
      <c r="B76" s="16">
        <v>1000000306</v>
      </c>
      <c r="C76" s="22" t="s">
        <v>44</v>
      </c>
      <c r="D76" s="23">
        <v>1000</v>
      </c>
      <c r="E76" s="24" t="s">
        <v>33</v>
      </c>
      <c r="F76" s="23" t="s">
        <v>30</v>
      </c>
      <c r="G76" s="20">
        <v>5348124</v>
      </c>
      <c r="H76" s="20">
        <f t="shared" si="5"/>
        <v>6952561.2000000002</v>
      </c>
      <c r="I76" s="21">
        <f t="shared" si="6"/>
        <v>1460037.852</v>
      </c>
      <c r="J76" s="56">
        <f t="shared" si="4"/>
        <v>8412599.0520000011</v>
      </c>
    </row>
    <row r="77" spans="2:10" ht="15" customHeight="1">
      <c r="B77" s="16">
        <v>1000000257</v>
      </c>
      <c r="C77" s="28" t="s">
        <v>45</v>
      </c>
      <c r="D77" s="26">
        <v>205</v>
      </c>
      <c r="E77" s="24" t="s">
        <v>20</v>
      </c>
      <c r="F77" s="23" t="s">
        <v>30</v>
      </c>
      <c r="G77" s="20">
        <v>999779</v>
      </c>
      <c r="H77" s="20">
        <f t="shared" si="5"/>
        <v>1299712.7</v>
      </c>
      <c r="I77" s="21">
        <f t="shared" si="6"/>
        <v>272939.66699999996</v>
      </c>
      <c r="J77" s="56">
        <f t="shared" si="4"/>
        <v>1572652.3669999999</v>
      </c>
    </row>
    <row r="78" spans="2:10" ht="15" customHeight="1">
      <c r="B78" s="16">
        <v>1000000256</v>
      </c>
      <c r="C78" s="28" t="s">
        <v>45</v>
      </c>
      <c r="D78" s="29">
        <v>20</v>
      </c>
      <c r="E78" s="24" t="s">
        <v>26</v>
      </c>
      <c r="F78" s="23" t="s">
        <v>30</v>
      </c>
      <c r="G78" s="20">
        <v>107940</v>
      </c>
      <c r="H78" s="20">
        <f t="shared" si="5"/>
        <v>140322</v>
      </c>
      <c r="I78" s="21">
        <f t="shared" si="6"/>
        <v>29467.62</v>
      </c>
      <c r="J78" s="56">
        <f t="shared" si="4"/>
        <v>169789.62</v>
      </c>
    </row>
    <row r="79" spans="2:10" ht="15" customHeight="1">
      <c r="B79" s="16">
        <v>1000000140</v>
      </c>
      <c r="C79" s="30" t="s">
        <v>46</v>
      </c>
      <c r="D79" s="23">
        <v>205</v>
      </c>
      <c r="E79" s="24" t="s">
        <v>20</v>
      </c>
      <c r="F79" s="23" t="s">
        <v>30</v>
      </c>
      <c r="G79" s="20">
        <v>1092544</v>
      </c>
      <c r="H79" s="20">
        <f t="shared" si="5"/>
        <v>1420307.2</v>
      </c>
      <c r="I79" s="21">
        <f t="shared" si="6"/>
        <v>298264.51199999999</v>
      </c>
      <c r="J79" s="56">
        <f t="shared" si="4"/>
        <v>1718571.7119999998</v>
      </c>
    </row>
    <row r="80" spans="2:10" ht="15" customHeight="1">
      <c r="B80" s="16">
        <v>1000000137</v>
      </c>
      <c r="C80" s="22" t="s">
        <v>47</v>
      </c>
      <c r="D80" s="23">
        <v>205</v>
      </c>
      <c r="E80" s="24" t="s">
        <v>20</v>
      </c>
      <c r="F80" s="23" t="s">
        <v>30</v>
      </c>
      <c r="G80" s="20">
        <v>1000724</v>
      </c>
      <c r="H80" s="20">
        <f t="shared" si="5"/>
        <v>1300941.2</v>
      </c>
      <c r="I80" s="21">
        <f t="shared" si="6"/>
        <v>273197.652</v>
      </c>
      <c r="J80" s="56">
        <f t="shared" si="4"/>
        <v>1574138.852</v>
      </c>
    </row>
    <row r="81" spans="2:10" ht="15" customHeight="1">
      <c r="B81" s="16">
        <v>1000000136</v>
      </c>
      <c r="C81" s="22" t="s">
        <v>47</v>
      </c>
      <c r="D81" s="23">
        <v>20</v>
      </c>
      <c r="E81" s="24" t="s">
        <v>26</v>
      </c>
      <c r="F81" s="23" t="s">
        <v>30</v>
      </c>
      <c r="G81" s="20">
        <v>100088</v>
      </c>
      <c r="H81" s="20">
        <f t="shared" si="5"/>
        <v>130114.4</v>
      </c>
      <c r="I81" s="21">
        <f t="shared" si="6"/>
        <v>27324.023999999998</v>
      </c>
      <c r="J81" s="56">
        <f t="shared" si="4"/>
        <v>157438.424</v>
      </c>
    </row>
    <row r="82" spans="2:10" ht="15" customHeight="1">
      <c r="B82" s="16">
        <v>1000000146</v>
      </c>
      <c r="C82" s="31" t="s">
        <v>48</v>
      </c>
      <c r="D82" s="32">
        <v>205</v>
      </c>
      <c r="E82" s="24" t="s">
        <v>20</v>
      </c>
      <c r="F82" s="23" t="s">
        <v>30</v>
      </c>
      <c r="G82" s="20">
        <v>992116</v>
      </c>
      <c r="H82" s="20">
        <f t="shared" si="5"/>
        <v>1289750.8</v>
      </c>
      <c r="I82" s="21">
        <f t="shared" si="6"/>
        <v>270847.66800000001</v>
      </c>
      <c r="J82" s="56">
        <f t="shared" si="4"/>
        <v>1560598.4680000001</v>
      </c>
    </row>
    <row r="83" spans="2:10" ht="15" customHeight="1">
      <c r="B83" s="16">
        <v>1000000144</v>
      </c>
      <c r="C83" s="31" t="s">
        <v>48</v>
      </c>
      <c r="D83" s="32">
        <v>20</v>
      </c>
      <c r="E83" s="24" t="s">
        <v>26</v>
      </c>
      <c r="F83" s="23" t="s">
        <v>30</v>
      </c>
      <c r="G83" s="20">
        <v>94710</v>
      </c>
      <c r="H83" s="20">
        <f t="shared" si="5"/>
        <v>123123</v>
      </c>
      <c r="I83" s="21">
        <f t="shared" si="6"/>
        <v>25855.829999999998</v>
      </c>
      <c r="J83" s="56">
        <f t="shared" si="4"/>
        <v>148978.82999999999</v>
      </c>
    </row>
    <row r="84" spans="2:10" ht="15" customHeight="1">
      <c r="B84" s="16">
        <v>1000000145</v>
      </c>
      <c r="C84" s="31" t="s">
        <v>48</v>
      </c>
      <c r="D84" s="32">
        <v>12</v>
      </c>
      <c r="E84" s="24" t="s">
        <v>10</v>
      </c>
      <c r="F84" s="23" t="s">
        <v>30</v>
      </c>
      <c r="G84" s="20">
        <v>76756</v>
      </c>
      <c r="H84" s="20">
        <f t="shared" si="5"/>
        <v>99782.8</v>
      </c>
      <c r="I84" s="21">
        <f t="shared" si="6"/>
        <v>20954.387999999999</v>
      </c>
      <c r="J84" s="56">
        <f t="shared" si="4"/>
        <v>120737.18799999999</v>
      </c>
    </row>
    <row r="85" spans="2:10" ht="15" customHeight="1">
      <c r="B85" s="65" t="s">
        <v>49</v>
      </c>
      <c r="C85" s="66"/>
      <c r="D85" s="66"/>
      <c r="E85" s="66"/>
      <c r="F85" s="66"/>
      <c r="G85" s="66"/>
      <c r="H85" s="66"/>
      <c r="I85" s="66"/>
      <c r="J85" s="66"/>
    </row>
    <row r="86" spans="2:10" ht="15" customHeight="1">
      <c r="B86" s="16">
        <v>6000000115</v>
      </c>
      <c r="C86" s="22" t="s">
        <v>50</v>
      </c>
      <c r="D86" s="23">
        <v>20</v>
      </c>
      <c r="E86" s="24" t="s">
        <v>26</v>
      </c>
      <c r="F86" s="23" t="s">
        <v>51</v>
      </c>
      <c r="G86" s="20">
        <v>113885</v>
      </c>
      <c r="H86" s="20">
        <f t="shared" si="5"/>
        <v>148050.5</v>
      </c>
      <c r="I86" s="21">
        <f t="shared" si="6"/>
        <v>31090.605</v>
      </c>
      <c r="J86" s="56">
        <f t="shared" ref="J86" si="7">I86+H86</f>
        <v>179141.10500000001</v>
      </c>
    </row>
    <row r="87" spans="2:10" ht="15" customHeight="1">
      <c r="B87" s="16">
        <v>6000000116</v>
      </c>
      <c r="C87" s="22" t="s">
        <v>50</v>
      </c>
      <c r="D87" s="23">
        <v>12</v>
      </c>
      <c r="E87" s="24" t="s">
        <v>10</v>
      </c>
      <c r="F87" s="23" t="s">
        <v>51</v>
      </c>
      <c r="G87" s="20">
        <v>75047</v>
      </c>
      <c r="H87" s="20">
        <f t="shared" si="5"/>
        <v>97561.1</v>
      </c>
      <c r="I87" s="21">
        <f t="shared" si="6"/>
        <v>20487.831000000002</v>
      </c>
      <c r="J87" s="56">
        <f t="shared" ref="J87:J101" si="8">I87+H87</f>
        <v>118048.93100000001</v>
      </c>
    </row>
    <row r="88" spans="2:10" ht="15" customHeight="1">
      <c r="B88" s="16">
        <v>6000000129</v>
      </c>
      <c r="C88" s="22" t="s">
        <v>52</v>
      </c>
      <c r="D88" s="23">
        <v>205</v>
      </c>
      <c r="E88" s="24" t="s">
        <v>20</v>
      </c>
      <c r="F88" s="23" t="s">
        <v>51</v>
      </c>
      <c r="G88" s="20">
        <v>1057150</v>
      </c>
      <c r="H88" s="20">
        <f t="shared" si="5"/>
        <v>1374295</v>
      </c>
      <c r="I88" s="21">
        <f t="shared" si="6"/>
        <v>288601.95</v>
      </c>
      <c r="J88" s="56">
        <f t="shared" si="8"/>
        <v>1662896.95</v>
      </c>
    </row>
    <row r="89" spans="2:10" ht="15" customHeight="1">
      <c r="B89" s="16">
        <v>6000000127</v>
      </c>
      <c r="C89" s="22" t="s">
        <v>52</v>
      </c>
      <c r="D89" s="23">
        <v>20</v>
      </c>
      <c r="E89" s="24" t="s">
        <v>26</v>
      </c>
      <c r="F89" s="23" t="s">
        <v>51</v>
      </c>
      <c r="G89" s="20">
        <v>103591</v>
      </c>
      <c r="H89" s="20">
        <f t="shared" si="5"/>
        <v>134668.29999999999</v>
      </c>
      <c r="I89" s="21">
        <f t="shared" si="6"/>
        <v>28280.342999999997</v>
      </c>
      <c r="J89" s="56">
        <f t="shared" si="8"/>
        <v>162948.64299999998</v>
      </c>
    </row>
    <row r="90" spans="2:10" ht="15" customHeight="1">
      <c r="B90" s="16">
        <v>6000000128</v>
      </c>
      <c r="C90" s="22" t="s">
        <v>52</v>
      </c>
      <c r="D90" s="23">
        <v>12</v>
      </c>
      <c r="E90" s="24" t="s">
        <v>10</v>
      </c>
      <c r="F90" s="23" t="s">
        <v>51</v>
      </c>
      <c r="G90" s="20">
        <v>74135</v>
      </c>
      <c r="H90" s="20">
        <f t="shared" si="5"/>
        <v>96375.5</v>
      </c>
      <c r="I90" s="21">
        <f t="shared" si="6"/>
        <v>20238.855</v>
      </c>
      <c r="J90" s="56">
        <f t="shared" si="8"/>
        <v>116614.355</v>
      </c>
    </row>
    <row r="91" spans="2:10" ht="15" customHeight="1">
      <c r="B91" s="16">
        <v>6000000122</v>
      </c>
      <c r="C91" s="22" t="s">
        <v>53</v>
      </c>
      <c r="D91" s="23">
        <v>20</v>
      </c>
      <c r="E91" s="24" t="s">
        <v>26</v>
      </c>
      <c r="F91" s="33" t="s">
        <v>51</v>
      </c>
      <c r="G91" s="20">
        <v>103430</v>
      </c>
      <c r="H91" s="20">
        <f t="shared" si="5"/>
        <v>134459</v>
      </c>
      <c r="I91" s="21">
        <f t="shared" si="6"/>
        <v>28236.39</v>
      </c>
      <c r="J91" s="56">
        <f t="shared" si="8"/>
        <v>162695.39000000001</v>
      </c>
    </row>
    <row r="92" spans="2:10" ht="15" customHeight="1">
      <c r="B92" s="16">
        <v>6000000123</v>
      </c>
      <c r="C92" s="22" t="s">
        <v>53</v>
      </c>
      <c r="D92" s="23">
        <v>12</v>
      </c>
      <c r="E92" s="24" t="s">
        <v>10</v>
      </c>
      <c r="F92" s="33" t="s">
        <v>51</v>
      </c>
      <c r="G92" s="20">
        <v>74135</v>
      </c>
      <c r="H92" s="20">
        <f t="shared" si="5"/>
        <v>96375.5</v>
      </c>
      <c r="I92" s="21">
        <f t="shared" si="6"/>
        <v>20238.855</v>
      </c>
      <c r="J92" s="56">
        <f t="shared" si="8"/>
        <v>116614.355</v>
      </c>
    </row>
    <row r="93" spans="2:10" ht="15" customHeight="1">
      <c r="B93" s="16">
        <v>6000000124</v>
      </c>
      <c r="C93" s="22" t="s">
        <v>53</v>
      </c>
      <c r="D93" s="23">
        <v>205</v>
      </c>
      <c r="E93" s="24" t="s">
        <v>20</v>
      </c>
      <c r="F93" s="33" t="s">
        <v>51</v>
      </c>
      <c r="G93" s="20">
        <v>993736</v>
      </c>
      <c r="H93" s="20">
        <f t="shared" si="5"/>
        <v>1291856.8</v>
      </c>
      <c r="I93" s="21">
        <f t="shared" si="6"/>
        <v>271289.92800000001</v>
      </c>
      <c r="J93" s="56">
        <f t="shared" si="8"/>
        <v>1563146.7280000001</v>
      </c>
    </row>
    <row r="94" spans="2:10" ht="15" customHeight="1">
      <c r="B94" s="16">
        <v>6000000132</v>
      </c>
      <c r="C94" s="22" t="s">
        <v>54</v>
      </c>
      <c r="D94" s="23">
        <v>205</v>
      </c>
      <c r="E94" s="24" t="s">
        <v>20</v>
      </c>
      <c r="F94" s="33" t="s">
        <v>51</v>
      </c>
      <c r="G94" s="20">
        <v>614064</v>
      </c>
      <c r="H94" s="20">
        <f t="shared" si="5"/>
        <v>798283.2</v>
      </c>
      <c r="I94" s="21">
        <f t="shared" si="6"/>
        <v>167639.47199999998</v>
      </c>
      <c r="J94" s="56">
        <f t="shared" si="8"/>
        <v>965922.6719999999</v>
      </c>
    </row>
    <row r="95" spans="2:10" ht="15" customHeight="1">
      <c r="B95" s="16">
        <v>6000000130</v>
      </c>
      <c r="C95" s="22" t="s">
        <v>54</v>
      </c>
      <c r="D95" s="23">
        <v>20</v>
      </c>
      <c r="E95" s="24" t="s">
        <v>26</v>
      </c>
      <c r="F95" s="33" t="s">
        <v>51</v>
      </c>
      <c r="G95" s="20">
        <v>69342</v>
      </c>
      <c r="H95" s="20">
        <f t="shared" si="5"/>
        <v>90144.6</v>
      </c>
      <c r="I95" s="21">
        <f t="shared" si="6"/>
        <v>18930.366000000002</v>
      </c>
      <c r="J95" s="56">
        <f t="shared" si="8"/>
        <v>109074.96600000001</v>
      </c>
    </row>
    <row r="96" spans="2:10" ht="15" customHeight="1">
      <c r="B96" s="16">
        <v>6000000131</v>
      </c>
      <c r="C96" s="22" t="s">
        <v>54</v>
      </c>
      <c r="D96" s="23">
        <v>12</v>
      </c>
      <c r="E96" s="24" t="s">
        <v>10</v>
      </c>
      <c r="F96" s="33" t="s">
        <v>51</v>
      </c>
      <c r="G96" s="20">
        <v>61190</v>
      </c>
      <c r="H96" s="20">
        <f t="shared" si="5"/>
        <v>79547</v>
      </c>
      <c r="I96" s="21">
        <f t="shared" si="6"/>
        <v>16704.87</v>
      </c>
      <c r="J96" s="56">
        <f t="shared" si="8"/>
        <v>96251.87</v>
      </c>
    </row>
    <row r="97" spans="2:10" ht="15" customHeight="1">
      <c r="B97" s="16">
        <v>6000000110</v>
      </c>
      <c r="C97" s="22" t="s">
        <v>55</v>
      </c>
      <c r="D97" s="23">
        <v>12</v>
      </c>
      <c r="E97" s="24" t="s">
        <v>10</v>
      </c>
      <c r="F97" s="33" t="s">
        <v>51</v>
      </c>
      <c r="G97" s="20">
        <v>36561</v>
      </c>
      <c r="H97" s="20">
        <f t="shared" si="5"/>
        <v>47529.3</v>
      </c>
      <c r="I97" s="21">
        <f t="shared" si="6"/>
        <v>9981.1530000000002</v>
      </c>
      <c r="J97" s="56">
        <f t="shared" si="8"/>
        <v>57510.453000000001</v>
      </c>
    </row>
    <row r="98" spans="2:10" ht="15" customHeight="1">
      <c r="B98" s="16">
        <v>6000000111</v>
      </c>
      <c r="C98" s="22" t="s">
        <v>55</v>
      </c>
      <c r="D98" s="23">
        <v>20</v>
      </c>
      <c r="E98" s="24" t="s">
        <v>26</v>
      </c>
      <c r="F98" s="33" t="s">
        <v>51</v>
      </c>
      <c r="G98" s="20">
        <v>62026</v>
      </c>
      <c r="H98" s="20">
        <f t="shared" si="5"/>
        <v>80633.8</v>
      </c>
      <c r="I98" s="21">
        <f t="shared" si="6"/>
        <v>16933.098000000002</v>
      </c>
      <c r="J98" s="56">
        <f t="shared" si="8"/>
        <v>97566.898000000001</v>
      </c>
    </row>
    <row r="99" spans="2:10" ht="15" customHeight="1">
      <c r="B99" s="16">
        <v>6000000118</v>
      </c>
      <c r="C99" s="27" t="s">
        <v>56</v>
      </c>
      <c r="D99" s="23">
        <v>10</v>
      </c>
      <c r="E99" s="24" t="s">
        <v>41</v>
      </c>
      <c r="F99" s="23" t="s">
        <v>51</v>
      </c>
      <c r="G99" s="20">
        <v>30544</v>
      </c>
      <c r="H99" s="20">
        <f t="shared" si="5"/>
        <v>39707.199999999997</v>
      </c>
      <c r="I99" s="21">
        <f t="shared" si="6"/>
        <v>8338.5119999999988</v>
      </c>
      <c r="J99" s="56">
        <f t="shared" si="8"/>
        <v>48045.712</v>
      </c>
    </row>
    <row r="100" spans="2:10" ht="15" customHeight="1">
      <c r="B100" s="16">
        <v>6000000120</v>
      </c>
      <c r="C100" s="22" t="s">
        <v>56</v>
      </c>
      <c r="D100" s="23">
        <v>1000</v>
      </c>
      <c r="E100" s="24" t="s">
        <v>33</v>
      </c>
      <c r="F100" s="33" t="s">
        <v>51</v>
      </c>
      <c r="G100" s="20">
        <v>1893961</v>
      </c>
      <c r="H100" s="20">
        <f t="shared" si="5"/>
        <v>2462149.2999999998</v>
      </c>
      <c r="I100" s="21">
        <f t="shared" si="6"/>
        <v>517051.35299999994</v>
      </c>
      <c r="J100" s="56">
        <f t="shared" si="8"/>
        <v>2979200.6529999999</v>
      </c>
    </row>
    <row r="101" spans="2:10" ht="15" customHeight="1">
      <c r="B101" s="16">
        <v>6000000119</v>
      </c>
      <c r="C101" s="22" t="s">
        <v>56</v>
      </c>
      <c r="D101" s="23">
        <v>200</v>
      </c>
      <c r="E101" s="24" t="s">
        <v>57</v>
      </c>
      <c r="F101" s="33" t="s">
        <v>51</v>
      </c>
      <c r="G101" s="20">
        <v>541667</v>
      </c>
      <c r="H101" s="20">
        <f t="shared" si="5"/>
        <v>704167.1</v>
      </c>
      <c r="I101" s="21">
        <f t="shared" si="6"/>
        <v>147875.09099999999</v>
      </c>
      <c r="J101" s="56">
        <f t="shared" si="8"/>
        <v>852042.19099999999</v>
      </c>
    </row>
    <row r="102" spans="2:10" ht="15" customHeight="1">
      <c r="B102" s="57" t="s">
        <v>58</v>
      </c>
      <c r="C102" s="58"/>
      <c r="D102" s="58"/>
      <c r="E102" s="58"/>
      <c r="F102" s="58"/>
      <c r="G102" s="58"/>
      <c r="H102" s="58"/>
      <c r="I102" s="58"/>
      <c r="J102" s="58"/>
    </row>
    <row r="103" spans="2:10" ht="15" customHeight="1">
      <c r="B103" s="16">
        <v>6000000166</v>
      </c>
      <c r="C103" s="22" t="s">
        <v>59</v>
      </c>
      <c r="D103" s="23">
        <v>12</v>
      </c>
      <c r="E103" s="24" t="s">
        <v>10</v>
      </c>
      <c r="F103" s="23" t="s">
        <v>11</v>
      </c>
      <c r="G103" s="20">
        <v>362811</v>
      </c>
      <c r="H103" s="20">
        <f t="shared" si="5"/>
        <v>471654.3</v>
      </c>
      <c r="I103" s="21">
        <f t="shared" si="6"/>
        <v>99047.402999999991</v>
      </c>
      <c r="J103" s="56">
        <f t="shared" ref="J103" si="9">I103+H103</f>
        <v>570701.70299999998</v>
      </c>
    </row>
    <row r="104" spans="2:10" ht="15" customHeight="1">
      <c r="B104" s="16">
        <v>1000000242</v>
      </c>
      <c r="C104" s="22" t="s">
        <v>59</v>
      </c>
      <c r="D104" s="23">
        <v>20</v>
      </c>
      <c r="E104" s="24" t="s">
        <v>26</v>
      </c>
      <c r="F104" s="23" t="s">
        <v>11</v>
      </c>
      <c r="G104" s="20">
        <v>499587</v>
      </c>
      <c r="H104" s="20">
        <f t="shared" si="5"/>
        <v>649463.1</v>
      </c>
      <c r="I104" s="21">
        <f t="shared" si="6"/>
        <v>136387.25099999999</v>
      </c>
      <c r="J104" s="56">
        <f t="shared" ref="J104:J140" si="10">I104+H104</f>
        <v>785850.35100000002</v>
      </c>
    </row>
    <row r="105" spans="2:10" ht="15" customHeight="1">
      <c r="B105" s="16">
        <v>1000000854</v>
      </c>
      <c r="C105" s="22" t="s">
        <v>59</v>
      </c>
      <c r="D105" s="23">
        <v>100</v>
      </c>
      <c r="E105" s="24" t="s">
        <v>21</v>
      </c>
      <c r="F105" s="23" t="s">
        <v>11</v>
      </c>
      <c r="G105" s="20">
        <v>2248141</v>
      </c>
      <c r="H105" s="20">
        <f t="shared" si="5"/>
        <v>2922583.3</v>
      </c>
      <c r="I105" s="21">
        <f t="shared" si="6"/>
        <v>613742.4929999999</v>
      </c>
      <c r="J105" s="56">
        <f t="shared" si="10"/>
        <v>3536325.7929999996</v>
      </c>
    </row>
    <row r="106" spans="2:10" ht="15" customHeight="1">
      <c r="B106" s="16">
        <v>1000000243</v>
      </c>
      <c r="C106" s="34" t="s">
        <v>60</v>
      </c>
      <c r="D106" s="35">
        <v>20</v>
      </c>
      <c r="E106" s="36" t="s">
        <v>26</v>
      </c>
      <c r="F106" s="23" t="s">
        <v>11</v>
      </c>
      <c r="G106" s="20">
        <v>269753</v>
      </c>
      <c r="H106" s="20">
        <f t="shared" si="5"/>
        <v>350678.9</v>
      </c>
      <c r="I106" s="21">
        <f t="shared" si="6"/>
        <v>73642.569000000003</v>
      </c>
      <c r="J106" s="56">
        <f t="shared" si="10"/>
        <v>424321.46900000004</v>
      </c>
    </row>
    <row r="107" spans="2:10" ht="15" customHeight="1">
      <c r="B107" s="16">
        <v>1000000244</v>
      </c>
      <c r="C107" s="34" t="s">
        <v>60</v>
      </c>
      <c r="D107" s="35">
        <v>12</v>
      </c>
      <c r="E107" s="36" t="s">
        <v>10</v>
      </c>
      <c r="F107" s="23" t="s">
        <v>11</v>
      </c>
      <c r="G107" s="20">
        <v>187251</v>
      </c>
      <c r="H107" s="20">
        <f t="shared" si="5"/>
        <v>243426.3</v>
      </c>
      <c r="I107" s="21">
        <f t="shared" si="6"/>
        <v>51119.522999999994</v>
      </c>
      <c r="J107" s="56">
        <f t="shared" si="10"/>
        <v>294545.82299999997</v>
      </c>
    </row>
    <row r="108" spans="2:10" ht="15" customHeight="1">
      <c r="B108" s="16">
        <v>1000000855</v>
      </c>
      <c r="C108" s="34" t="s">
        <v>60</v>
      </c>
      <c r="D108" s="23">
        <v>100</v>
      </c>
      <c r="E108" s="24" t="s">
        <v>21</v>
      </c>
      <c r="F108" s="23" t="s">
        <v>11</v>
      </c>
      <c r="G108" s="20">
        <v>1213889</v>
      </c>
      <c r="H108" s="20">
        <f t="shared" si="5"/>
        <v>1578055.7</v>
      </c>
      <c r="I108" s="21">
        <f t="shared" si="6"/>
        <v>331391.69699999999</v>
      </c>
      <c r="J108" s="56">
        <f t="shared" si="10"/>
        <v>1909447.3969999999</v>
      </c>
    </row>
    <row r="109" spans="2:10" ht="15" customHeight="1">
      <c r="B109" s="16">
        <v>6000000150</v>
      </c>
      <c r="C109" s="27" t="s">
        <v>61</v>
      </c>
      <c r="D109" s="23">
        <v>12</v>
      </c>
      <c r="E109" s="24" t="s">
        <v>10</v>
      </c>
      <c r="F109" s="23" t="s">
        <v>11</v>
      </c>
      <c r="G109" s="20">
        <v>185778</v>
      </c>
      <c r="H109" s="20">
        <f t="shared" si="5"/>
        <v>241511.4</v>
      </c>
      <c r="I109" s="21">
        <f t="shared" si="6"/>
        <v>50717.394</v>
      </c>
      <c r="J109" s="56">
        <f t="shared" si="10"/>
        <v>292228.79399999999</v>
      </c>
    </row>
    <row r="110" spans="2:10" ht="15" customHeight="1">
      <c r="B110" s="16">
        <v>1000000856</v>
      </c>
      <c r="C110" s="27" t="s">
        <v>61</v>
      </c>
      <c r="D110" s="23">
        <v>100</v>
      </c>
      <c r="E110" s="24" t="s">
        <v>21</v>
      </c>
      <c r="F110" s="23" t="s">
        <v>11</v>
      </c>
      <c r="G110" s="20">
        <v>1315925</v>
      </c>
      <c r="H110" s="20">
        <f t="shared" si="5"/>
        <v>1710702.5</v>
      </c>
      <c r="I110" s="21">
        <f t="shared" si="6"/>
        <v>359247.52499999997</v>
      </c>
      <c r="J110" s="56">
        <f t="shared" si="10"/>
        <v>2069950.0249999999</v>
      </c>
    </row>
    <row r="111" spans="2:10" ht="15" customHeight="1">
      <c r="B111" s="16">
        <v>6000000149</v>
      </c>
      <c r="C111" s="27" t="s">
        <v>62</v>
      </c>
      <c r="D111" s="23">
        <v>12</v>
      </c>
      <c r="E111" s="24" t="s">
        <v>10</v>
      </c>
      <c r="F111" s="23" t="s">
        <v>11</v>
      </c>
      <c r="G111" s="20">
        <v>178263</v>
      </c>
      <c r="H111" s="20">
        <f t="shared" si="5"/>
        <v>231741.9</v>
      </c>
      <c r="I111" s="21">
        <f t="shared" si="6"/>
        <v>48665.798999999999</v>
      </c>
      <c r="J111" s="56">
        <f t="shared" si="10"/>
        <v>280407.69900000002</v>
      </c>
    </row>
    <row r="112" spans="2:10" ht="15" customHeight="1">
      <c r="B112" s="16">
        <v>1000000858</v>
      </c>
      <c r="C112" s="27" t="s">
        <v>62</v>
      </c>
      <c r="D112" s="23">
        <v>100</v>
      </c>
      <c r="E112" s="24" t="s">
        <v>21</v>
      </c>
      <c r="F112" s="23" t="s">
        <v>11</v>
      </c>
      <c r="G112" s="20">
        <v>1262698</v>
      </c>
      <c r="H112" s="20">
        <f t="shared" si="5"/>
        <v>1641507.4</v>
      </c>
      <c r="I112" s="21">
        <f t="shared" si="6"/>
        <v>344716.55399999995</v>
      </c>
      <c r="J112" s="56">
        <f t="shared" si="10"/>
        <v>1986223.9539999999</v>
      </c>
    </row>
    <row r="113" spans="2:10" ht="15" customHeight="1">
      <c r="B113" s="16">
        <v>6000000152</v>
      </c>
      <c r="C113" s="27" t="s">
        <v>63</v>
      </c>
      <c r="D113" s="23">
        <v>12</v>
      </c>
      <c r="E113" s="24" t="s">
        <v>10</v>
      </c>
      <c r="F113" s="23" t="s">
        <v>11</v>
      </c>
      <c r="G113" s="20">
        <v>153299</v>
      </c>
      <c r="H113" s="20">
        <f t="shared" si="5"/>
        <v>199288.7</v>
      </c>
      <c r="I113" s="21">
        <f t="shared" si="6"/>
        <v>41850.627</v>
      </c>
      <c r="J113" s="56">
        <f t="shared" si="10"/>
        <v>241139.32700000002</v>
      </c>
    </row>
    <row r="114" spans="2:10" ht="15" customHeight="1">
      <c r="B114" s="16">
        <v>1000000859</v>
      </c>
      <c r="C114" s="27" t="s">
        <v>63</v>
      </c>
      <c r="D114" s="23">
        <v>100</v>
      </c>
      <c r="E114" s="24" t="s">
        <v>21</v>
      </c>
      <c r="F114" s="23" t="s">
        <v>11</v>
      </c>
      <c r="G114" s="20">
        <v>1085871</v>
      </c>
      <c r="H114" s="20">
        <f t="shared" si="5"/>
        <v>1411632.3</v>
      </c>
      <c r="I114" s="21">
        <f t="shared" si="6"/>
        <v>296442.783</v>
      </c>
      <c r="J114" s="56">
        <f t="shared" si="10"/>
        <v>1708075.0830000001</v>
      </c>
    </row>
    <row r="115" spans="2:10" ht="15" customHeight="1">
      <c r="B115" s="16">
        <v>6000000155</v>
      </c>
      <c r="C115" s="27" t="s">
        <v>64</v>
      </c>
      <c r="D115" s="23">
        <v>12</v>
      </c>
      <c r="E115" s="24" t="s">
        <v>10</v>
      </c>
      <c r="F115" s="23" t="s">
        <v>11</v>
      </c>
      <c r="G115" s="20">
        <v>141096</v>
      </c>
      <c r="H115" s="20">
        <f t="shared" si="5"/>
        <v>183424.8</v>
      </c>
      <c r="I115" s="21">
        <f t="shared" si="6"/>
        <v>38519.207999999999</v>
      </c>
      <c r="J115" s="56">
        <f t="shared" si="10"/>
        <v>221944.00799999997</v>
      </c>
    </row>
    <row r="116" spans="2:10" ht="15" customHeight="1">
      <c r="B116" s="16">
        <v>1000000860</v>
      </c>
      <c r="C116" s="27" t="s">
        <v>64</v>
      </c>
      <c r="D116" s="23">
        <v>100</v>
      </c>
      <c r="E116" s="24" t="s">
        <v>21</v>
      </c>
      <c r="F116" s="23" t="s">
        <v>11</v>
      </c>
      <c r="G116" s="20">
        <v>999433</v>
      </c>
      <c r="H116" s="20">
        <f t="shared" si="5"/>
        <v>1299262.8999999999</v>
      </c>
      <c r="I116" s="21">
        <f t="shared" si="6"/>
        <v>272845.20899999997</v>
      </c>
      <c r="J116" s="56">
        <f t="shared" si="10"/>
        <v>1572108.1089999999</v>
      </c>
    </row>
    <row r="117" spans="2:10" ht="15" customHeight="1">
      <c r="B117" s="16">
        <v>1000000313</v>
      </c>
      <c r="C117" s="22" t="s">
        <v>65</v>
      </c>
      <c r="D117" s="23">
        <v>205</v>
      </c>
      <c r="E117" s="24" t="s">
        <v>20</v>
      </c>
      <c r="F117" s="23" t="s">
        <v>30</v>
      </c>
      <c r="G117" s="20">
        <v>1127942</v>
      </c>
      <c r="H117" s="20">
        <f t="shared" si="5"/>
        <v>1466324.6</v>
      </c>
      <c r="I117" s="21">
        <f t="shared" si="6"/>
        <v>307928.16600000003</v>
      </c>
      <c r="J117" s="56">
        <f t="shared" si="10"/>
        <v>1774252.7660000001</v>
      </c>
    </row>
    <row r="118" spans="2:10" ht="15" customHeight="1">
      <c r="B118" s="16">
        <v>1000000311</v>
      </c>
      <c r="C118" s="22" t="s">
        <v>65</v>
      </c>
      <c r="D118" s="23">
        <v>20</v>
      </c>
      <c r="E118" s="24" t="s">
        <v>26</v>
      </c>
      <c r="F118" s="23" t="s">
        <v>30</v>
      </c>
      <c r="G118" s="20">
        <v>114981</v>
      </c>
      <c r="H118" s="20">
        <f t="shared" si="5"/>
        <v>149475.29999999999</v>
      </c>
      <c r="I118" s="21">
        <f t="shared" si="6"/>
        <v>31389.812999999995</v>
      </c>
      <c r="J118" s="56">
        <f t="shared" si="10"/>
        <v>180865.11299999998</v>
      </c>
    </row>
    <row r="119" spans="2:10" ht="15" customHeight="1">
      <c r="B119" s="16">
        <v>1000000309</v>
      </c>
      <c r="C119" s="22" t="s">
        <v>66</v>
      </c>
      <c r="D119" s="23">
        <v>205</v>
      </c>
      <c r="E119" s="24" t="s">
        <v>20</v>
      </c>
      <c r="F119" s="23" t="s">
        <v>30</v>
      </c>
      <c r="G119" s="20">
        <v>1190317</v>
      </c>
      <c r="H119" s="20">
        <f t="shared" si="5"/>
        <v>1547412.1</v>
      </c>
      <c r="I119" s="21">
        <f t="shared" si="6"/>
        <v>324956.54100000003</v>
      </c>
      <c r="J119" s="56">
        <f t="shared" si="10"/>
        <v>1872368.6410000001</v>
      </c>
    </row>
    <row r="120" spans="2:10" ht="15" customHeight="1">
      <c r="B120" s="16">
        <v>1000000308</v>
      </c>
      <c r="C120" s="22" t="s">
        <v>66</v>
      </c>
      <c r="D120" s="23">
        <v>20</v>
      </c>
      <c r="E120" s="24" t="s">
        <v>26</v>
      </c>
      <c r="F120" s="23" t="s">
        <v>30</v>
      </c>
      <c r="G120" s="20">
        <v>121161</v>
      </c>
      <c r="H120" s="20">
        <f t="shared" si="5"/>
        <v>157509.29999999999</v>
      </c>
      <c r="I120" s="21">
        <f t="shared" si="6"/>
        <v>33076.952999999994</v>
      </c>
      <c r="J120" s="56">
        <f t="shared" si="10"/>
        <v>190586.25299999997</v>
      </c>
    </row>
    <row r="121" spans="2:10" ht="15" customHeight="1">
      <c r="B121" s="16">
        <v>1000000329</v>
      </c>
      <c r="C121" s="22" t="s">
        <v>67</v>
      </c>
      <c r="D121" s="23">
        <v>205</v>
      </c>
      <c r="E121" s="24" t="s">
        <v>20</v>
      </c>
      <c r="F121" s="23" t="s">
        <v>30</v>
      </c>
      <c r="G121" s="20">
        <v>1056462</v>
      </c>
      <c r="H121" s="20">
        <f t="shared" si="5"/>
        <v>1373400.6</v>
      </c>
      <c r="I121" s="21">
        <f t="shared" si="6"/>
        <v>288414.12599999999</v>
      </c>
      <c r="J121" s="56">
        <f t="shared" si="10"/>
        <v>1661814.726</v>
      </c>
    </row>
    <row r="122" spans="2:10" ht="15" customHeight="1">
      <c r="B122" s="16">
        <v>1000000327</v>
      </c>
      <c r="C122" s="22" t="s">
        <v>67</v>
      </c>
      <c r="D122" s="23">
        <v>20</v>
      </c>
      <c r="E122" s="24" t="s">
        <v>26</v>
      </c>
      <c r="F122" s="23" t="s">
        <v>30</v>
      </c>
      <c r="G122" s="20">
        <v>108008</v>
      </c>
      <c r="H122" s="20">
        <f t="shared" si="5"/>
        <v>140410.4</v>
      </c>
      <c r="I122" s="21">
        <f t="shared" si="6"/>
        <v>29486.183999999997</v>
      </c>
      <c r="J122" s="56">
        <f t="shared" si="10"/>
        <v>169896.584</v>
      </c>
    </row>
    <row r="123" spans="2:10" ht="15" customHeight="1">
      <c r="B123" s="16">
        <v>1000000328</v>
      </c>
      <c r="C123" s="22" t="s">
        <v>67</v>
      </c>
      <c r="D123" s="23">
        <v>12</v>
      </c>
      <c r="E123" s="24" t="s">
        <v>10</v>
      </c>
      <c r="F123" s="23" t="s">
        <v>30</v>
      </c>
      <c r="G123" s="20">
        <v>85914</v>
      </c>
      <c r="H123" s="20">
        <f t="shared" si="5"/>
        <v>111688.2</v>
      </c>
      <c r="I123" s="21">
        <f t="shared" si="6"/>
        <v>23454.521999999997</v>
      </c>
      <c r="J123" s="56">
        <f t="shared" si="10"/>
        <v>135142.72200000001</v>
      </c>
    </row>
    <row r="124" spans="2:10" ht="15" customHeight="1">
      <c r="B124" s="16">
        <v>1000000320</v>
      </c>
      <c r="C124" s="27" t="s">
        <v>68</v>
      </c>
      <c r="D124" s="23">
        <v>20</v>
      </c>
      <c r="E124" s="24" t="s">
        <v>26</v>
      </c>
      <c r="F124" s="23" t="s">
        <v>30</v>
      </c>
      <c r="G124" s="20">
        <v>112248</v>
      </c>
      <c r="H124" s="20">
        <f t="shared" si="5"/>
        <v>145922.4</v>
      </c>
      <c r="I124" s="21">
        <f t="shared" si="6"/>
        <v>30643.703999999998</v>
      </c>
      <c r="J124" s="56">
        <f t="shared" si="10"/>
        <v>176566.10399999999</v>
      </c>
    </row>
    <row r="125" spans="2:10" ht="15" customHeight="1">
      <c r="B125" s="16">
        <v>1000000321</v>
      </c>
      <c r="C125" s="27" t="s">
        <v>69</v>
      </c>
      <c r="D125" s="23">
        <v>205</v>
      </c>
      <c r="E125" s="24" t="s">
        <v>20</v>
      </c>
      <c r="F125" s="23" t="s">
        <v>30</v>
      </c>
      <c r="G125" s="20">
        <v>1277742</v>
      </c>
      <c r="H125" s="20">
        <f t="shared" si="5"/>
        <v>1661064.6</v>
      </c>
      <c r="I125" s="21">
        <f t="shared" si="6"/>
        <v>348823.56599999999</v>
      </c>
      <c r="J125" s="56">
        <f t="shared" si="10"/>
        <v>2009888.1660000002</v>
      </c>
    </row>
    <row r="126" spans="2:10" ht="15" customHeight="1">
      <c r="B126" s="16">
        <v>1000000318</v>
      </c>
      <c r="C126" s="22" t="s">
        <v>70</v>
      </c>
      <c r="D126" s="23">
        <v>12</v>
      </c>
      <c r="E126" s="24" t="s">
        <v>10</v>
      </c>
      <c r="F126" s="23" t="s">
        <v>30</v>
      </c>
      <c r="G126" s="20">
        <v>162122</v>
      </c>
      <c r="H126" s="20">
        <f t="shared" si="5"/>
        <v>210758.6</v>
      </c>
      <c r="I126" s="21">
        <f t="shared" si="6"/>
        <v>44259.305999999997</v>
      </c>
      <c r="J126" s="56">
        <f t="shared" si="10"/>
        <v>255017.90600000002</v>
      </c>
    </row>
    <row r="127" spans="2:10" ht="15" customHeight="1">
      <c r="B127" s="16">
        <v>1000000378</v>
      </c>
      <c r="C127" s="22" t="s">
        <v>71</v>
      </c>
      <c r="D127" s="23">
        <v>205</v>
      </c>
      <c r="E127" s="24" t="s">
        <v>20</v>
      </c>
      <c r="F127" s="23" t="s">
        <v>30</v>
      </c>
      <c r="G127" s="20">
        <v>1072353</v>
      </c>
      <c r="H127" s="20">
        <f t="shared" si="5"/>
        <v>1394058.9</v>
      </c>
      <c r="I127" s="21">
        <f t="shared" si="6"/>
        <v>292752.36899999995</v>
      </c>
      <c r="J127" s="56">
        <f t="shared" si="10"/>
        <v>1686811.2689999999</v>
      </c>
    </row>
    <row r="128" spans="2:10" ht="15" customHeight="1">
      <c r="B128" s="16">
        <v>1000000377</v>
      </c>
      <c r="C128" s="22" t="s">
        <v>71</v>
      </c>
      <c r="D128" s="23">
        <v>20</v>
      </c>
      <c r="E128" s="24" t="s">
        <v>26</v>
      </c>
      <c r="F128" s="23" t="s">
        <v>30</v>
      </c>
      <c r="G128" s="20">
        <v>109558</v>
      </c>
      <c r="H128" s="20">
        <f t="shared" si="5"/>
        <v>142425.4</v>
      </c>
      <c r="I128" s="21">
        <f t="shared" si="6"/>
        <v>29909.333999999999</v>
      </c>
      <c r="J128" s="56">
        <f t="shared" si="10"/>
        <v>172334.734</v>
      </c>
    </row>
    <row r="129" spans="2:10" ht="15" customHeight="1">
      <c r="B129" s="16">
        <v>1000000153</v>
      </c>
      <c r="C129" s="22" t="s">
        <v>72</v>
      </c>
      <c r="D129" s="23">
        <v>20</v>
      </c>
      <c r="E129" s="24" t="s">
        <v>26</v>
      </c>
      <c r="F129" s="23" t="s">
        <v>30</v>
      </c>
      <c r="G129" s="20">
        <v>94610</v>
      </c>
      <c r="H129" s="20">
        <f t="shared" si="5"/>
        <v>122993</v>
      </c>
      <c r="I129" s="21">
        <f t="shared" si="6"/>
        <v>25828.53</v>
      </c>
      <c r="J129" s="56">
        <f t="shared" si="10"/>
        <v>148821.53</v>
      </c>
    </row>
    <row r="130" spans="2:10" ht="15" customHeight="1">
      <c r="B130" s="16">
        <v>1000000154</v>
      </c>
      <c r="C130" s="22" t="s">
        <v>72</v>
      </c>
      <c r="D130" s="23">
        <v>205</v>
      </c>
      <c r="E130" s="24" t="s">
        <v>20</v>
      </c>
      <c r="F130" s="23" t="s">
        <v>30</v>
      </c>
      <c r="G130" s="20">
        <v>1003663</v>
      </c>
      <c r="H130" s="20">
        <f t="shared" si="5"/>
        <v>1304761.8999999999</v>
      </c>
      <c r="I130" s="21">
        <f t="shared" si="6"/>
        <v>273999.99899999995</v>
      </c>
      <c r="J130" s="56">
        <f t="shared" si="10"/>
        <v>1578761.8989999997</v>
      </c>
    </row>
    <row r="131" spans="2:10" ht="15" customHeight="1">
      <c r="B131" s="16">
        <v>1000000150</v>
      </c>
      <c r="C131" s="27" t="s">
        <v>73</v>
      </c>
      <c r="D131" s="23">
        <v>20</v>
      </c>
      <c r="E131" s="24" t="s">
        <v>26</v>
      </c>
      <c r="F131" s="23" t="s">
        <v>30</v>
      </c>
      <c r="G131" s="20">
        <v>98721</v>
      </c>
      <c r="H131" s="20">
        <f t="shared" si="5"/>
        <v>128337.3</v>
      </c>
      <c r="I131" s="21">
        <f t="shared" si="6"/>
        <v>26950.832999999999</v>
      </c>
      <c r="J131" s="56">
        <f t="shared" si="10"/>
        <v>155288.133</v>
      </c>
    </row>
    <row r="132" spans="2:10" ht="15" customHeight="1">
      <c r="B132" s="16">
        <v>1000000151</v>
      </c>
      <c r="C132" s="27" t="s">
        <v>74</v>
      </c>
      <c r="D132" s="23">
        <v>205</v>
      </c>
      <c r="E132" s="24" t="s">
        <v>20</v>
      </c>
      <c r="F132" s="23" t="s">
        <v>30</v>
      </c>
      <c r="G132" s="20">
        <v>1178678</v>
      </c>
      <c r="H132" s="20">
        <f t="shared" si="5"/>
        <v>1532281.4</v>
      </c>
      <c r="I132" s="21">
        <f t="shared" si="6"/>
        <v>321779.09399999998</v>
      </c>
      <c r="J132" s="56">
        <f t="shared" si="10"/>
        <v>1854060.4939999999</v>
      </c>
    </row>
    <row r="133" spans="2:10" ht="15" customHeight="1">
      <c r="B133" s="16">
        <v>1000000170</v>
      </c>
      <c r="C133" s="22" t="s">
        <v>75</v>
      </c>
      <c r="D133" s="23">
        <v>205</v>
      </c>
      <c r="E133" s="24" t="s">
        <v>20</v>
      </c>
      <c r="F133" s="23" t="s">
        <v>30</v>
      </c>
      <c r="G133" s="20">
        <v>1184751</v>
      </c>
      <c r="H133" s="20">
        <f t="shared" si="5"/>
        <v>1540176.3</v>
      </c>
      <c r="I133" s="21">
        <f t="shared" si="6"/>
        <v>323437.02299999999</v>
      </c>
      <c r="J133" s="56">
        <f t="shared" si="10"/>
        <v>1863613.3230000001</v>
      </c>
    </row>
    <row r="134" spans="2:10" ht="15" customHeight="1">
      <c r="B134" s="16">
        <v>1000000168</v>
      </c>
      <c r="C134" s="22" t="s">
        <v>75</v>
      </c>
      <c r="D134" s="23">
        <v>20</v>
      </c>
      <c r="E134" s="24" t="s">
        <v>26</v>
      </c>
      <c r="F134" s="23" t="s">
        <v>30</v>
      </c>
      <c r="G134" s="20">
        <v>118008</v>
      </c>
      <c r="H134" s="20">
        <f t="shared" si="5"/>
        <v>153410.4</v>
      </c>
      <c r="I134" s="21">
        <f t="shared" si="6"/>
        <v>32216.183999999997</v>
      </c>
      <c r="J134" s="56">
        <f t="shared" si="10"/>
        <v>185626.584</v>
      </c>
    </row>
    <row r="135" spans="2:10" ht="15" customHeight="1">
      <c r="B135" s="16">
        <v>1000000169</v>
      </c>
      <c r="C135" s="22" t="s">
        <v>75</v>
      </c>
      <c r="D135" s="23">
        <v>12</v>
      </c>
      <c r="E135" s="24" t="s">
        <v>10</v>
      </c>
      <c r="F135" s="23" t="s">
        <v>30</v>
      </c>
      <c r="G135" s="20">
        <v>95164</v>
      </c>
      <c r="H135" s="20">
        <f t="shared" si="5"/>
        <v>123713.2</v>
      </c>
      <c r="I135" s="21">
        <f t="shared" si="6"/>
        <v>25979.771999999997</v>
      </c>
      <c r="J135" s="56">
        <f t="shared" si="10"/>
        <v>149692.97200000001</v>
      </c>
    </row>
    <row r="136" spans="2:10" ht="15" customHeight="1">
      <c r="B136" s="16">
        <v>1000000165</v>
      </c>
      <c r="C136" s="27" t="s">
        <v>76</v>
      </c>
      <c r="D136" s="23">
        <v>20</v>
      </c>
      <c r="E136" s="24" t="s">
        <v>26</v>
      </c>
      <c r="F136" s="23" t="s">
        <v>30</v>
      </c>
      <c r="G136" s="20">
        <v>126984</v>
      </c>
      <c r="H136" s="20">
        <f t="shared" si="5"/>
        <v>165079.20000000001</v>
      </c>
      <c r="I136" s="21">
        <f t="shared" si="6"/>
        <v>34666.631999999998</v>
      </c>
      <c r="J136" s="56">
        <f t="shared" si="10"/>
        <v>199745.83199999999</v>
      </c>
    </row>
    <row r="137" spans="2:10" ht="15" customHeight="1">
      <c r="B137" s="16">
        <v>1000000166</v>
      </c>
      <c r="C137" s="22" t="s">
        <v>76</v>
      </c>
      <c r="D137" s="23">
        <v>205</v>
      </c>
      <c r="E137" s="24" t="s">
        <v>20</v>
      </c>
      <c r="F137" s="23" t="s">
        <v>30</v>
      </c>
      <c r="G137" s="20">
        <v>1138038</v>
      </c>
      <c r="H137" s="20">
        <f t="shared" si="5"/>
        <v>1479449.4</v>
      </c>
      <c r="I137" s="21">
        <f t="shared" si="6"/>
        <v>310684.37399999995</v>
      </c>
      <c r="J137" s="56">
        <f t="shared" si="10"/>
        <v>1790133.7739999997</v>
      </c>
    </row>
    <row r="138" spans="2:10" ht="15" customHeight="1">
      <c r="B138" s="16">
        <v>1000000175</v>
      </c>
      <c r="C138" s="22" t="s">
        <v>77</v>
      </c>
      <c r="D138" s="23">
        <v>205</v>
      </c>
      <c r="E138" s="24" t="s">
        <v>20</v>
      </c>
      <c r="F138" s="23" t="s">
        <v>30</v>
      </c>
      <c r="G138" s="20">
        <v>868014</v>
      </c>
      <c r="H138" s="20">
        <f t="shared" ref="H138:H201" si="11">+G138*30%+G138</f>
        <v>1128418.2</v>
      </c>
      <c r="I138" s="21">
        <f t="shared" ref="I138:I201" si="12">H138*0.21</f>
        <v>236967.82199999999</v>
      </c>
      <c r="J138" s="56">
        <f t="shared" si="10"/>
        <v>1365386.0219999999</v>
      </c>
    </row>
    <row r="139" spans="2:10" ht="15" customHeight="1">
      <c r="B139" s="16">
        <v>1000000173</v>
      </c>
      <c r="C139" s="22" t="s">
        <v>77</v>
      </c>
      <c r="D139" s="23">
        <v>20</v>
      </c>
      <c r="E139" s="24" t="s">
        <v>26</v>
      </c>
      <c r="F139" s="23" t="s">
        <v>30</v>
      </c>
      <c r="G139" s="20">
        <v>87215</v>
      </c>
      <c r="H139" s="20">
        <f t="shared" si="11"/>
        <v>113379.5</v>
      </c>
      <c r="I139" s="21">
        <f t="shared" si="12"/>
        <v>23809.695</v>
      </c>
      <c r="J139" s="56">
        <f t="shared" si="10"/>
        <v>137189.19500000001</v>
      </c>
    </row>
    <row r="140" spans="2:10" ht="15" customHeight="1">
      <c r="B140" s="16">
        <v>1000000174</v>
      </c>
      <c r="C140" s="22" t="s">
        <v>77</v>
      </c>
      <c r="D140" s="37">
        <f>0.946*12</f>
        <v>11.352</v>
      </c>
      <c r="E140" s="24" t="s">
        <v>78</v>
      </c>
      <c r="F140" s="23" t="s">
        <v>30</v>
      </c>
      <c r="G140" s="20">
        <v>63722</v>
      </c>
      <c r="H140" s="20">
        <f t="shared" si="11"/>
        <v>82838.600000000006</v>
      </c>
      <c r="I140" s="21">
        <f t="shared" si="12"/>
        <v>17396.106</v>
      </c>
      <c r="J140" s="56">
        <f t="shared" si="10"/>
        <v>100234.70600000001</v>
      </c>
    </row>
    <row r="141" spans="2:10" ht="15" customHeight="1">
      <c r="B141" s="57" t="s">
        <v>142</v>
      </c>
      <c r="C141" s="58"/>
      <c r="D141" s="58"/>
      <c r="E141" s="58"/>
      <c r="F141" s="58"/>
      <c r="G141" s="58"/>
      <c r="H141" s="58"/>
      <c r="I141" s="58"/>
      <c r="J141" s="58"/>
    </row>
    <row r="142" spans="2:10" ht="15" customHeight="1">
      <c r="B142" s="16">
        <v>1000000206</v>
      </c>
      <c r="C142" s="27" t="s">
        <v>79</v>
      </c>
      <c r="D142" s="23">
        <v>205</v>
      </c>
      <c r="E142" s="24" t="s">
        <v>20</v>
      </c>
      <c r="F142" s="23" t="s">
        <v>30</v>
      </c>
      <c r="G142" s="20">
        <v>953990</v>
      </c>
      <c r="H142" s="20">
        <f t="shared" si="11"/>
        <v>1240187</v>
      </c>
      <c r="I142" s="21">
        <f t="shared" si="12"/>
        <v>260439.27</v>
      </c>
      <c r="J142" s="56">
        <f t="shared" ref="J142" si="13">I142+H142</f>
        <v>1500626.27</v>
      </c>
    </row>
    <row r="143" spans="2:10" ht="15" customHeight="1">
      <c r="B143" s="16">
        <v>1000000189</v>
      </c>
      <c r="C143" s="27" t="s">
        <v>80</v>
      </c>
      <c r="D143" s="23">
        <v>20</v>
      </c>
      <c r="E143" s="24" t="s">
        <v>26</v>
      </c>
      <c r="F143" s="23" t="s">
        <v>30</v>
      </c>
      <c r="G143" s="20">
        <v>89499</v>
      </c>
      <c r="H143" s="20">
        <f t="shared" si="11"/>
        <v>116348.7</v>
      </c>
      <c r="I143" s="21">
        <f t="shared" si="12"/>
        <v>24433.226999999999</v>
      </c>
      <c r="J143" s="56">
        <f t="shared" ref="J143:J156" si="14">I143+H143</f>
        <v>140781.927</v>
      </c>
    </row>
    <row r="144" spans="2:10" ht="15" customHeight="1">
      <c r="B144" s="16">
        <v>1000000190</v>
      </c>
      <c r="C144" s="27" t="s">
        <v>80</v>
      </c>
      <c r="D144" s="23">
        <v>205</v>
      </c>
      <c r="E144" s="24" t="s">
        <v>20</v>
      </c>
      <c r="F144" s="23" t="s">
        <v>30</v>
      </c>
      <c r="G144" s="20">
        <v>899270</v>
      </c>
      <c r="H144" s="20">
        <f t="shared" si="11"/>
        <v>1169051</v>
      </c>
      <c r="I144" s="21">
        <f t="shared" si="12"/>
        <v>245500.71</v>
      </c>
      <c r="J144" s="56">
        <f t="shared" si="14"/>
        <v>1414551.71</v>
      </c>
    </row>
    <row r="145" spans="2:11" ht="15" customHeight="1">
      <c r="B145" s="16">
        <v>1000000191</v>
      </c>
      <c r="C145" s="27" t="s">
        <v>81</v>
      </c>
      <c r="D145" s="23">
        <v>1000</v>
      </c>
      <c r="E145" s="38" t="s">
        <v>33</v>
      </c>
      <c r="F145" s="23" t="s">
        <v>30</v>
      </c>
      <c r="G145" s="20">
        <v>4272903</v>
      </c>
      <c r="H145" s="20">
        <f t="shared" si="11"/>
        <v>5554773.9000000004</v>
      </c>
      <c r="I145" s="21">
        <f t="shared" si="12"/>
        <v>1166502.5190000001</v>
      </c>
      <c r="J145" s="56">
        <f t="shared" si="14"/>
        <v>6721276.4190000007</v>
      </c>
    </row>
    <row r="146" spans="2:11" ht="15" customHeight="1">
      <c r="B146" s="16">
        <v>1000000193</v>
      </c>
      <c r="C146" s="27" t="s">
        <v>82</v>
      </c>
      <c r="D146" s="23">
        <v>20</v>
      </c>
      <c r="E146" s="24" t="s">
        <v>26</v>
      </c>
      <c r="F146" s="23" t="s">
        <v>30</v>
      </c>
      <c r="G146" s="20">
        <v>88230</v>
      </c>
      <c r="H146" s="20">
        <f t="shared" si="11"/>
        <v>114699</v>
      </c>
      <c r="I146" s="21">
        <f t="shared" si="12"/>
        <v>24086.79</v>
      </c>
      <c r="J146" s="56">
        <f t="shared" si="14"/>
        <v>138785.79</v>
      </c>
    </row>
    <row r="147" spans="2:11" ht="15" customHeight="1">
      <c r="B147" s="16">
        <v>1000000194</v>
      </c>
      <c r="C147" s="27" t="s">
        <v>82</v>
      </c>
      <c r="D147" s="23">
        <v>205</v>
      </c>
      <c r="E147" s="24" t="s">
        <v>20</v>
      </c>
      <c r="F147" s="23" t="s">
        <v>30</v>
      </c>
      <c r="G147" s="20">
        <v>886576</v>
      </c>
      <c r="H147" s="20">
        <f t="shared" si="11"/>
        <v>1152548.8</v>
      </c>
      <c r="I147" s="21">
        <f t="shared" si="12"/>
        <v>242035.24799999999</v>
      </c>
      <c r="J147" s="56">
        <f t="shared" si="14"/>
        <v>1394584.048</v>
      </c>
      <c r="K147" s="12"/>
    </row>
    <row r="148" spans="2:11" ht="15" customHeight="1">
      <c r="B148" s="16">
        <v>1000000195</v>
      </c>
      <c r="C148" s="27" t="s">
        <v>83</v>
      </c>
      <c r="D148" s="23">
        <v>1000</v>
      </c>
      <c r="E148" s="38" t="s">
        <v>33</v>
      </c>
      <c r="F148" s="23" t="s">
        <v>30</v>
      </c>
      <c r="G148" s="20">
        <v>4214403</v>
      </c>
      <c r="H148" s="20">
        <f t="shared" si="11"/>
        <v>5478723.9000000004</v>
      </c>
      <c r="I148" s="21">
        <f t="shared" si="12"/>
        <v>1150532.0190000001</v>
      </c>
      <c r="J148" s="56">
        <f t="shared" si="14"/>
        <v>6629255.9190000007</v>
      </c>
    </row>
    <row r="149" spans="2:11" ht="15" customHeight="1">
      <c r="B149" s="16">
        <v>1000000197</v>
      </c>
      <c r="C149" s="27" t="s">
        <v>84</v>
      </c>
      <c r="D149" s="23">
        <v>20</v>
      </c>
      <c r="E149" s="24" t="s">
        <v>26</v>
      </c>
      <c r="F149" s="23" t="s">
        <v>30</v>
      </c>
      <c r="G149" s="20">
        <v>86216</v>
      </c>
      <c r="H149" s="20">
        <f t="shared" si="11"/>
        <v>112080.8</v>
      </c>
      <c r="I149" s="21">
        <f t="shared" si="12"/>
        <v>23536.968000000001</v>
      </c>
      <c r="J149" s="56">
        <f t="shared" si="14"/>
        <v>135617.76800000001</v>
      </c>
    </row>
    <row r="150" spans="2:11" ht="15" customHeight="1">
      <c r="B150" s="16">
        <v>1000000198</v>
      </c>
      <c r="C150" s="27" t="s">
        <v>84</v>
      </c>
      <c r="D150" s="23">
        <v>205</v>
      </c>
      <c r="E150" s="24" t="s">
        <v>20</v>
      </c>
      <c r="F150" s="23" t="s">
        <v>30</v>
      </c>
      <c r="G150" s="20">
        <v>866423</v>
      </c>
      <c r="H150" s="20">
        <f t="shared" si="11"/>
        <v>1126349.8999999999</v>
      </c>
      <c r="I150" s="21">
        <f t="shared" si="12"/>
        <v>236533.47899999996</v>
      </c>
      <c r="J150" s="56">
        <f t="shared" si="14"/>
        <v>1362883.379</v>
      </c>
    </row>
    <row r="151" spans="2:11" ht="15" customHeight="1">
      <c r="B151" s="16">
        <v>1000000199</v>
      </c>
      <c r="C151" s="27" t="s">
        <v>85</v>
      </c>
      <c r="D151" s="23">
        <v>1000</v>
      </c>
      <c r="E151" s="38" t="s">
        <v>33</v>
      </c>
      <c r="F151" s="23" t="s">
        <v>30</v>
      </c>
      <c r="G151" s="20">
        <v>4124810</v>
      </c>
      <c r="H151" s="20">
        <f t="shared" si="11"/>
        <v>5362253</v>
      </c>
      <c r="I151" s="21">
        <f t="shared" si="12"/>
        <v>1126073.1299999999</v>
      </c>
      <c r="J151" s="56">
        <f t="shared" si="14"/>
        <v>6488326.1299999999</v>
      </c>
    </row>
    <row r="152" spans="2:11" ht="15" customHeight="1">
      <c r="B152" s="16">
        <v>1000000201</v>
      </c>
      <c r="C152" s="27" t="s">
        <v>86</v>
      </c>
      <c r="D152" s="23">
        <v>20</v>
      </c>
      <c r="E152" s="24" t="s">
        <v>26</v>
      </c>
      <c r="F152" s="23" t="s">
        <v>30</v>
      </c>
      <c r="G152" s="20">
        <v>85263</v>
      </c>
      <c r="H152" s="20">
        <f t="shared" si="11"/>
        <v>110841.9</v>
      </c>
      <c r="I152" s="21">
        <f t="shared" si="12"/>
        <v>23276.798999999999</v>
      </c>
      <c r="J152" s="56">
        <f t="shared" si="14"/>
        <v>134118.69899999999</v>
      </c>
    </row>
    <row r="153" spans="2:11" ht="15" customHeight="1">
      <c r="B153" s="16">
        <v>1000000202</v>
      </c>
      <c r="C153" s="27" t="s">
        <v>86</v>
      </c>
      <c r="D153" s="23">
        <v>205</v>
      </c>
      <c r="E153" s="24" t="s">
        <v>20</v>
      </c>
      <c r="F153" s="23" t="s">
        <v>30</v>
      </c>
      <c r="G153" s="20">
        <v>856886</v>
      </c>
      <c r="H153" s="20">
        <f t="shared" si="11"/>
        <v>1113951.8</v>
      </c>
      <c r="I153" s="21">
        <f t="shared" si="12"/>
        <v>233929.878</v>
      </c>
      <c r="J153" s="56">
        <f t="shared" si="14"/>
        <v>1347881.6780000001</v>
      </c>
    </row>
    <row r="154" spans="2:11" ht="15" customHeight="1">
      <c r="B154" s="16">
        <v>1000000203</v>
      </c>
      <c r="C154" s="27" t="s">
        <v>87</v>
      </c>
      <c r="D154" s="23">
        <v>20</v>
      </c>
      <c r="E154" s="24" t="s">
        <v>26</v>
      </c>
      <c r="F154" s="23" t="s">
        <v>30</v>
      </c>
      <c r="G154" s="20">
        <v>114511</v>
      </c>
      <c r="H154" s="20">
        <f t="shared" si="11"/>
        <v>148864.29999999999</v>
      </c>
      <c r="I154" s="21">
        <f t="shared" si="12"/>
        <v>31261.502999999997</v>
      </c>
      <c r="J154" s="56">
        <f t="shared" si="14"/>
        <v>180125.80299999999</v>
      </c>
    </row>
    <row r="155" spans="2:11" ht="15" customHeight="1">
      <c r="B155" s="16">
        <v>1000000204</v>
      </c>
      <c r="C155" s="27" t="s">
        <v>87</v>
      </c>
      <c r="D155" s="23">
        <v>205</v>
      </c>
      <c r="E155" s="24" t="s">
        <v>20</v>
      </c>
      <c r="F155" s="23" t="s">
        <v>30</v>
      </c>
      <c r="G155" s="20">
        <v>1128490</v>
      </c>
      <c r="H155" s="20">
        <f t="shared" si="11"/>
        <v>1467037</v>
      </c>
      <c r="I155" s="21">
        <f t="shared" si="12"/>
        <v>308077.76999999996</v>
      </c>
      <c r="J155" s="56">
        <f t="shared" si="14"/>
        <v>1775114.77</v>
      </c>
    </row>
    <row r="156" spans="2:11" ht="15" customHeight="1">
      <c r="B156" s="16">
        <v>1000000709</v>
      </c>
      <c r="C156" s="27" t="s">
        <v>88</v>
      </c>
      <c r="D156" s="23">
        <v>205</v>
      </c>
      <c r="E156" s="24" t="s">
        <v>20</v>
      </c>
      <c r="F156" s="23" t="s">
        <v>30</v>
      </c>
      <c r="G156" s="20">
        <v>884697</v>
      </c>
      <c r="H156" s="20">
        <f t="shared" si="11"/>
        <v>1150106.1000000001</v>
      </c>
      <c r="I156" s="21">
        <f t="shared" si="12"/>
        <v>241522.28100000002</v>
      </c>
      <c r="J156" s="56">
        <f t="shared" si="14"/>
        <v>1391628.3810000001</v>
      </c>
    </row>
    <row r="157" spans="2:11" ht="15" customHeight="1">
      <c r="B157" s="57" t="s">
        <v>143</v>
      </c>
      <c r="C157" s="58"/>
      <c r="D157" s="58"/>
      <c r="E157" s="58"/>
      <c r="F157" s="58"/>
      <c r="G157" s="58"/>
      <c r="H157" s="58"/>
      <c r="I157" s="58"/>
      <c r="J157" s="58"/>
    </row>
    <row r="158" spans="2:11" ht="15" customHeight="1">
      <c r="B158" s="16">
        <v>1000000331</v>
      </c>
      <c r="C158" s="27" t="s">
        <v>89</v>
      </c>
      <c r="D158" s="23">
        <v>20</v>
      </c>
      <c r="E158" s="24" t="s">
        <v>26</v>
      </c>
      <c r="F158" s="23" t="s">
        <v>30</v>
      </c>
      <c r="G158" s="20">
        <v>116331</v>
      </c>
      <c r="H158" s="20">
        <f t="shared" si="11"/>
        <v>151230.29999999999</v>
      </c>
      <c r="I158" s="21">
        <f t="shared" si="12"/>
        <v>31758.362999999998</v>
      </c>
      <c r="J158" s="56">
        <f t="shared" ref="J158" si="15">I158+H158</f>
        <v>182988.663</v>
      </c>
    </row>
    <row r="159" spans="2:11" ht="15" customHeight="1">
      <c r="B159" s="16">
        <v>1000000332</v>
      </c>
      <c r="C159" s="27" t="s">
        <v>89</v>
      </c>
      <c r="D159" s="23">
        <v>205</v>
      </c>
      <c r="E159" s="24" t="s">
        <v>20</v>
      </c>
      <c r="F159" s="23" t="s">
        <v>30</v>
      </c>
      <c r="G159" s="20">
        <v>1151830</v>
      </c>
      <c r="H159" s="20">
        <f t="shared" si="11"/>
        <v>1497379</v>
      </c>
      <c r="I159" s="21">
        <f t="shared" si="12"/>
        <v>314449.58999999997</v>
      </c>
      <c r="J159" s="56">
        <f t="shared" ref="J159:J170" si="16">I159+H159</f>
        <v>1811828.5899999999</v>
      </c>
    </row>
    <row r="160" spans="2:11" ht="15" customHeight="1">
      <c r="B160" s="16">
        <v>1000000334</v>
      </c>
      <c r="C160" s="27" t="s">
        <v>90</v>
      </c>
      <c r="D160" s="23">
        <v>20</v>
      </c>
      <c r="E160" s="24" t="s">
        <v>26</v>
      </c>
      <c r="F160" s="23" t="s">
        <v>30</v>
      </c>
      <c r="G160" s="20">
        <v>110771</v>
      </c>
      <c r="H160" s="20">
        <f t="shared" si="11"/>
        <v>144002.29999999999</v>
      </c>
      <c r="I160" s="21">
        <f t="shared" si="12"/>
        <v>30240.482999999997</v>
      </c>
      <c r="J160" s="56">
        <f t="shared" si="16"/>
        <v>174242.783</v>
      </c>
    </row>
    <row r="161" spans="2:10" ht="15" customHeight="1">
      <c r="B161" s="16">
        <v>1000000335</v>
      </c>
      <c r="C161" s="27" t="s">
        <v>90</v>
      </c>
      <c r="D161" s="23">
        <v>205</v>
      </c>
      <c r="E161" s="24" t="s">
        <v>20</v>
      </c>
      <c r="F161" s="23" t="s">
        <v>30</v>
      </c>
      <c r="G161" s="20">
        <v>1096954</v>
      </c>
      <c r="H161" s="20">
        <f t="shared" si="11"/>
        <v>1426040.2</v>
      </c>
      <c r="I161" s="21">
        <f t="shared" si="12"/>
        <v>299468.44199999998</v>
      </c>
      <c r="J161" s="56">
        <f t="shared" si="16"/>
        <v>1725508.642</v>
      </c>
    </row>
    <row r="162" spans="2:10" ht="15" customHeight="1">
      <c r="B162" s="16">
        <v>1000000337</v>
      </c>
      <c r="C162" s="27" t="s">
        <v>91</v>
      </c>
      <c r="D162" s="23">
        <v>20</v>
      </c>
      <c r="E162" s="24" t="s">
        <v>26</v>
      </c>
      <c r="F162" s="23" t="s">
        <v>30</v>
      </c>
      <c r="G162" s="20">
        <v>104449</v>
      </c>
      <c r="H162" s="20">
        <f t="shared" si="11"/>
        <v>135783.70000000001</v>
      </c>
      <c r="I162" s="21">
        <f t="shared" si="12"/>
        <v>28514.577000000001</v>
      </c>
      <c r="J162" s="56">
        <f t="shared" si="16"/>
        <v>164298.277</v>
      </c>
    </row>
    <row r="163" spans="2:10" ht="15" customHeight="1">
      <c r="B163" s="16">
        <v>1000000338</v>
      </c>
      <c r="C163" s="27" t="s">
        <v>91</v>
      </c>
      <c r="D163" s="23">
        <v>205</v>
      </c>
      <c r="E163" s="24" t="s">
        <v>20</v>
      </c>
      <c r="F163" s="23" t="s">
        <v>30</v>
      </c>
      <c r="G163" s="20">
        <v>1054256</v>
      </c>
      <c r="H163" s="20">
        <f t="shared" si="11"/>
        <v>1370532.8</v>
      </c>
      <c r="I163" s="21">
        <f t="shared" si="12"/>
        <v>287811.88799999998</v>
      </c>
      <c r="J163" s="56">
        <f t="shared" si="16"/>
        <v>1658344.6880000001</v>
      </c>
    </row>
    <row r="164" spans="2:10" ht="15" customHeight="1">
      <c r="B164" s="16">
        <v>1000000340</v>
      </c>
      <c r="C164" s="27" t="s">
        <v>92</v>
      </c>
      <c r="D164" s="23">
        <v>20</v>
      </c>
      <c r="E164" s="24" t="s">
        <v>26</v>
      </c>
      <c r="F164" s="23" t="s">
        <v>30</v>
      </c>
      <c r="G164" s="20">
        <v>97869</v>
      </c>
      <c r="H164" s="20">
        <f t="shared" si="11"/>
        <v>127229.7</v>
      </c>
      <c r="I164" s="21">
        <f t="shared" si="12"/>
        <v>26718.236999999997</v>
      </c>
      <c r="J164" s="56">
        <f t="shared" si="16"/>
        <v>153947.93700000001</v>
      </c>
    </row>
    <row r="165" spans="2:10" ht="15" customHeight="1">
      <c r="B165" s="16">
        <v>1000000341</v>
      </c>
      <c r="C165" s="27" t="s">
        <v>92</v>
      </c>
      <c r="D165" s="23">
        <v>205</v>
      </c>
      <c r="E165" s="24" t="s">
        <v>20</v>
      </c>
      <c r="F165" s="23" t="s">
        <v>30</v>
      </c>
      <c r="G165" s="20">
        <v>1010001</v>
      </c>
      <c r="H165" s="20">
        <f t="shared" si="11"/>
        <v>1313001.3</v>
      </c>
      <c r="I165" s="21">
        <f t="shared" si="12"/>
        <v>275730.27299999999</v>
      </c>
      <c r="J165" s="56">
        <f t="shared" si="16"/>
        <v>1588731.5730000001</v>
      </c>
    </row>
    <row r="166" spans="2:10" ht="15" customHeight="1">
      <c r="B166" s="16">
        <v>1000000343</v>
      </c>
      <c r="C166" s="27" t="s">
        <v>93</v>
      </c>
      <c r="D166" s="23">
        <v>20</v>
      </c>
      <c r="E166" s="24" t="s">
        <v>26</v>
      </c>
      <c r="F166" s="23" t="s">
        <v>30</v>
      </c>
      <c r="G166" s="20">
        <v>97154</v>
      </c>
      <c r="H166" s="20">
        <f t="shared" si="11"/>
        <v>126300.2</v>
      </c>
      <c r="I166" s="21">
        <f t="shared" si="12"/>
        <v>26523.041999999998</v>
      </c>
      <c r="J166" s="56">
        <f t="shared" si="16"/>
        <v>152823.242</v>
      </c>
    </row>
    <row r="167" spans="2:10" ht="15" customHeight="1">
      <c r="B167" s="16">
        <v>1000000344</v>
      </c>
      <c r="C167" s="27" t="s">
        <v>93</v>
      </c>
      <c r="D167" s="23">
        <v>205</v>
      </c>
      <c r="E167" s="24" t="s">
        <v>20</v>
      </c>
      <c r="F167" s="23" t="s">
        <v>30</v>
      </c>
      <c r="G167" s="20">
        <v>962542</v>
      </c>
      <c r="H167" s="20">
        <f t="shared" si="11"/>
        <v>1251304.6000000001</v>
      </c>
      <c r="I167" s="21">
        <f t="shared" si="12"/>
        <v>262773.96600000001</v>
      </c>
      <c r="J167" s="56">
        <f t="shared" si="16"/>
        <v>1514078.5660000001</v>
      </c>
    </row>
    <row r="168" spans="2:10" ht="15" customHeight="1">
      <c r="B168" s="16">
        <v>1000000665</v>
      </c>
      <c r="C168" s="27" t="s">
        <v>94</v>
      </c>
      <c r="D168" s="23">
        <v>205</v>
      </c>
      <c r="E168" s="24" t="s">
        <v>20</v>
      </c>
      <c r="F168" s="23" t="s">
        <v>30</v>
      </c>
      <c r="G168" s="20">
        <v>939612</v>
      </c>
      <c r="H168" s="20">
        <f t="shared" si="11"/>
        <v>1221495.6000000001</v>
      </c>
      <c r="I168" s="21">
        <f t="shared" si="12"/>
        <v>256514.076</v>
      </c>
      <c r="J168" s="56">
        <f t="shared" si="16"/>
        <v>1478009.676</v>
      </c>
    </row>
    <row r="169" spans="2:10" ht="15" customHeight="1">
      <c r="B169" s="16">
        <v>1000000212</v>
      </c>
      <c r="C169" s="27" t="s">
        <v>95</v>
      </c>
      <c r="D169" s="23">
        <v>205</v>
      </c>
      <c r="E169" s="24" t="s">
        <v>20</v>
      </c>
      <c r="F169" s="23" t="s">
        <v>30</v>
      </c>
      <c r="G169" s="20">
        <v>853093</v>
      </c>
      <c r="H169" s="20">
        <f t="shared" si="11"/>
        <v>1109020.8999999999</v>
      </c>
      <c r="I169" s="21">
        <f t="shared" si="12"/>
        <v>232894.38899999997</v>
      </c>
      <c r="J169" s="56">
        <f t="shared" si="16"/>
        <v>1341915.2889999999</v>
      </c>
    </row>
    <row r="170" spans="2:10" ht="15" customHeight="1">
      <c r="B170" s="16">
        <v>1000000211</v>
      </c>
      <c r="C170" s="27" t="s">
        <v>95</v>
      </c>
      <c r="D170" s="39">
        <v>20</v>
      </c>
      <c r="E170" s="24" t="s">
        <v>26</v>
      </c>
      <c r="F170" s="23" t="s">
        <v>30</v>
      </c>
      <c r="G170" s="20">
        <v>81660</v>
      </c>
      <c r="H170" s="20">
        <f t="shared" si="11"/>
        <v>106158</v>
      </c>
      <c r="I170" s="21">
        <f t="shared" si="12"/>
        <v>22293.18</v>
      </c>
      <c r="J170" s="56">
        <f t="shared" si="16"/>
        <v>128451.18</v>
      </c>
    </row>
    <row r="171" spans="2:10" ht="15" customHeight="1">
      <c r="B171" s="57" t="s">
        <v>96</v>
      </c>
      <c r="C171" s="58"/>
      <c r="D171" s="58"/>
      <c r="E171" s="58"/>
      <c r="F171" s="58"/>
      <c r="G171" s="58"/>
      <c r="H171" s="58"/>
      <c r="I171" s="58"/>
      <c r="J171" s="58"/>
    </row>
    <row r="172" spans="2:10" ht="15" customHeight="1">
      <c r="B172" s="16">
        <v>6000000170</v>
      </c>
      <c r="C172" s="27" t="s">
        <v>97</v>
      </c>
      <c r="D172" s="23">
        <v>12</v>
      </c>
      <c r="E172" s="36" t="s">
        <v>10</v>
      </c>
      <c r="F172" s="23" t="s">
        <v>11</v>
      </c>
      <c r="G172" s="20">
        <v>177130</v>
      </c>
      <c r="H172" s="20">
        <f t="shared" si="11"/>
        <v>230269</v>
      </c>
      <c r="I172" s="21">
        <f t="shared" si="12"/>
        <v>48356.49</v>
      </c>
      <c r="J172" s="56">
        <f t="shared" ref="J172" si="17">I172+H172</f>
        <v>278625.49</v>
      </c>
    </row>
    <row r="173" spans="2:10" ht="15" customHeight="1">
      <c r="B173" s="16">
        <v>1000000387</v>
      </c>
      <c r="C173" s="22" t="s">
        <v>98</v>
      </c>
      <c r="D173" s="23">
        <v>12</v>
      </c>
      <c r="E173" s="36" t="s">
        <v>10</v>
      </c>
      <c r="F173" s="23" t="s">
        <v>25</v>
      </c>
      <c r="G173" s="20">
        <v>112140</v>
      </c>
      <c r="H173" s="20">
        <f t="shared" si="11"/>
        <v>145782</v>
      </c>
      <c r="I173" s="21">
        <f t="shared" si="12"/>
        <v>30614.219999999998</v>
      </c>
      <c r="J173" s="56">
        <f t="shared" ref="J173:J183" si="18">I173+H173</f>
        <v>176396.22</v>
      </c>
    </row>
    <row r="174" spans="2:10" ht="15" customHeight="1">
      <c r="B174" s="16">
        <v>1000000353</v>
      </c>
      <c r="C174" s="22" t="s">
        <v>98</v>
      </c>
      <c r="D174" s="23">
        <v>12</v>
      </c>
      <c r="E174" s="36" t="s">
        <v>99</v>
      </c>
      <c r="F174" s="23" t="s">
        <v>25</v>
      </c>
      <c r="G174" s="20">
        <v>111221</v>
      </c>
      <c r="H174" s="20">
        <f t="shared" si="11"/>
        <v>144587.29999999999</v>
      </c>
      <c r="I174" s="21">
        <f t="shared" si="12"/>
        <v>30363.332999999995</v>
      </c>
      <c r="J174" s="56">
        <f t="shared" si="18"/>
        <v>174950.63299999997</v>
      </c>
    </row>
    <row r="175" spans="2:10" ht="15" customHeight="1">
      <c r="B175" s="16">
        <v>1000000398</v>
      </c>
      <c r="C175" s="22" t="s">
        <v>100</v>
      </c>
      <c r="D175" s="23">
        <v>12</v>
      </c>
      <c r="E175" s="36" t="s">
        <v>99</v>
      </c>
      <c r="F175" s="23" t="s">
        <v>30</v>
      </c>
      <c r="G175" s="20">
        <v>66621</v>
      </c>
      <c r="H175" s="20">
        <f t="shared" si="11"/>
        <v>86607.3</v>
      </c>
      <c r="I175" s="21">
        <f t="shared" si="12"/>
        <v>18187.532999999999</v>
      </c>
      <c r="J175" s="56">
        <f t="shared" si="18"/>
        <v>104794.833</v>
      </c>
    </row>
    <row r="176" spans="2:10" ht="15" customHeight="1">
      <c r="B176" s="16">
        <v>1000000232</v>
      </c>
      <c r="C176" s="22" t="s">
        <v>100</v>
      </c>
      <c r="D176" s="23">
        <v>12</v>
      </c>
      <c r="E176" s="24" t="s">
        <v>10</v>
      </c>
      <c r="F176" s="23" t="s">
        <v>30</v>
      </c>
      <c r="G176" s="20">
        <v>74107</v>
      </c>
      <c r="H176" s="20">
        <f t="shared" si="11"/>
        <v>96339.1</v>
      </c>
      <c r="I176" s="21">
        <f t="shared" si="12"/>
        <v>20231.210999999999</v>
      </c>
      <c r="J176" s="56">
        <f t="shared" si="18"/>
        <v>116570.311</v>
      </c>
    </row>
    <row r="177" spans="2:10" ht="15" customHeight="1">
      <c r="B177" s="16">
        <v>1000000233</v>
      </c>
      <c r="C177" s="22" t="s">
        <v>100</v>
      </c>
      <c r="D177" s="23">
        <f>0.8*16</f>
        <v>12.8</v>
      </c>
      <c r="E177" s="24" t="s">
        <v>101</v>
      </c>
      <c r="F177" s="23" t="s">
        <v>30</v>
      </c>
      <c r="G177" s="20">
        <v>71786</v>
      </c>
      <c r="H177" s="20">
        <f t="shared" si="11"/>
        <v>93321.8</v>
      </c>
      <c r="I177" s="21">
        <f t="shared" si="12"/>
        <v>19597.578000000001</v>
      </c>
      <c r="J177" s="56">
        <f t="shared" si="18"/>
        <v>112919.378</v>
      </c>
    </row>
    <row r="178" spans="2:10" ht="15" customHeight="1">
      <c r="B178" s="16">
        <v>1000000714</v>
      </c>
      <c r="C178" s="22" t="s">
        <v>100</v>
      </c>
      <c r="D178" s="23">
        <v>20</v>
      </c>
      <c r="E178" s="24" t="s">
        <v>26</v>
      </c>
      <c r="F178" s="23" t="s">
        <v>30</v>
      </c>
      <c r="G178" s="20">
        <v>100835</v>
      </c>
      <c r="H178" s="20">
        <f t="shared" si="11"/>
        <v>131085.5</v>
      </c>
      <c r="I178" s="21">
        <f t="shared" si="12"/>
        <v>27527.954999999998</v>
      </c>
      <c r="J178" s="56">
        <f t="shared" si="18"/>
        <v>158613.45499999999</v>
      </c>
    </row>
    <row r="179" spans="2:10" ht="15" customHeight="1">
      <c r="B179" s="16">
        <v>1000000716</v>
      </c>
      <c r="C179" s="22" t="s">
        <v>100</v>
      </c>
      <c r="D179" s="23">
        <v>205</v>
      </c>
      <c r="E179" s="24" t="s">
        <v>20</v>
      </c>
      <c r="F179" s="23" t="s">
        <v>30</v>
      </c>
      <c r="G179" s="20">
        <v>1012514</v>
      </c>
      <c r="H179" s="20">
        <f t="shared" si="11"/>
        <v>1316268.2</v>
      </c>
      <c r="I179" s="21">
        <f t="shared" si="12"/>
        <v>276416.32199999999</v>
      </c>
      <c r="J179" s="56">
        <f t="shared" si="18"/>
        <v>1592684.5219999999</v>
      </c>
    </row>
    <row r="180" spans="2:10" ht="15" customHeight="1">
      <c r="B180" s="16">
        <v>1000000219</v>
      </c>
      <c r="C180" s="22" t="s">
        <v>102</v>
      </c>
      <c r="D180" s="23">
        <v>205</v>
      </c>
      <c r="E180" s="24" t="s">
        <v>20</v>
      </c>
      <c r="F180" s="23" t="s">
        <v>30</v>
      </c>
      <c r="G180" s="20">
        <v>954292</v>
      </c>
      <c r="H180" s="20">
        <f t="shared" si="11"/>
        <v>1240579.6000000001</v>
      </c>
      <c r="I180" s="21">
        <f t="shared" si="12"/>
        <v>260521.71600000001</v>
      </c>
      <c r="J180" s="56">
        <f t="shared" si="18"/>
        <v>1501101.3160000001</v>
      </c>
    </row>
    <row r="181" spans="2:10" ht="15" customHeight="1">
      <c r="B181" s="16">
        <v>1000000217</v>
      </c>
      <c r="C181" s="22" t="s">
        <v>102</v>
      </c>
      <c r="D181" s="23">
        <v>20</v>
      </c>
      <c r="E181" s="24" t="s">
        <v>26</v>
      </c>
      <c r="F181" s="23" t="s">
        <v>30</v>
      </c>
      <c r="G181" s="20">
        <v>95270</v>
      </c>
      <c r="H181" s="20">
        <f t="shared" si="11"/>
        <v>123851</v>
      </c>
      <c r="I181" s="21">
        <f t="shared" si="12"/>
        <v>26008.71</v>
      </c>
      <c r="J181" s="56">
        <f t="shared" si="18"/>
        <v>149859.71</v>
      </c>
    </row>
    <row r="182" spans="2:10" ht="15" customHeight="1">
      <c r="B182" s="16">
        <v>1000000218</v>
      </c>
      <c r="C182" s="22" t="s">
        <v>102</v>
      </c>
      <c r="D182" s="23">
        <v>12</v>
      </c>
      <c r="E182" s="24" t="s">
        <v>10</v>
      </c>
      <c r="F182" s="23" t="s">
        <v>30</v>
      </c>
      <c r="G182" s="20">
        <v>91196</v>
      </c>
      <c r="H182" s="20">
        <f t="shared" si="11"/>
        <v>118554.8</v>
      </c>
      <c r="I182" s="21">
        <f t="shared" si="12"/>
        <v>24896.507999999998</v>
      </c>
      <c r="J182" s="56">
        <f t="shared" si="18"/>
        <v>143451.30799999999</v>
      </c>
    </row>
    <row r="183" spans="2:10" ht="15" customHeight="1">
      <c r="B183" s="16">
        <v>6000000157</v>
      </c>
      <c r="C183" s="22" t="s">
        <v>102</v>
      </c>
      <c r="D183" s="23">
        <v>10</v>
      </c>
      <c r="E183" s="24" t="s">
        <v>103</v>
      </c>
      <c r="F183" s="23" t="s">
        <v>30</v>
      </c>
      <c r="G183" s="20">
        <v>112957</v>
      </c>
      <c r="H183" s="20">
        <f t="shared" si="11"/>
        <v>146844.1</v>
      </c>
      <c r="I183" s="21">
        <f t="shared" si="12"/>
        <v>30837.260999999999</v>
      </c>
      <c r="J183" s="56">
        <f t="shared" si="18"/>
        <v>177681.361</v>
      </c>
    </row>
    <row r="184" spans="2:10" ht="15" customHeight="1">
      <c r="B184" s="57" t="s">
        <v>104</v>
      </c>
      <c r="C184" s="58"/>
      <c r="D184" s="58"/>
      <c r="E184" s="58"/>
      <c r="F184" s="58"/>
      <c r="G184" s="58"/>
      <c r="H184" s="58"/>
      <c r="I184" s="58"/>
      <c r="J184" s="58"/>
    </row>
    <row r="185" spans="2:10" ht="15" customHeight="1">
      <c r="B185" s="16">
        <v>1000000215</v>
      </c>
      <c r="C185" s="22" t="s">
        <v>105</v>
      </c>
      <c r="D185" s="23">
        <v>205</v>
      </c>
      <c r="E185" s="24" t="s">
        <v>20</v>
      </c>
      <c r="F185" s="23" t="s">
        <v>30</v>
      </c>
      <c r="G185" s="20">
        <v>1166570</v>
      </c>
      <c r="H185" s="20">
        <f t="shared" si="11"/>
        <v>1516541</v>
      </c>
      <c r="I185" s="21">
        <f t="shared" si="12"/>
        <v>318473.61</v>
      </c>
      <c r="J185" s="56">
        <f t="shared" ref="J185" si="19">I185+H185</f>
        <v>1835014.6099999999</v>
      </c>
    </row>
    <row r="186" spans="2:10" ht="15" customHeight="1">
      <c r="B186" s="16">
        <v>1000000214</v>
      </c>
      <c r="C186" s="22" t="s">
        <v>105</v>
      </c>
      <c r="D186" s="23">
        <v>20</v>
      </c>
      <c r="E186" s="24" t="s">
        <v>26</v>
      </c>
      <c r="F186" s="23" t="s">
        <v>30</v>
      </c>
      <c r="G186" s="20">
        <v>118375</v>
      </c>
      <c r="H186" s="20">
        <f t="shared" si="11"/>
        <v>153887.5</v>
      </c>
      <c r="I186" s="21">
        <f t="shared" si="12"/>
        <v>32316.375</v>
      </c>
      <c r="J186" s="56">
        <f t="shared" ref="J186:J194" si="20">I186+H186</f>
        <v>186203.875</v>
      </c>
    </row>
    <row r="187" spans="2:10" ht="15" customHeight="1">
      <c r="B187" s="16">
        <v>1000000187</v>
      </c>
      <c r="C187" s="40" t="s">
        <v>106</v>
      </c>
      <c r="D187" s="23">
        <v>205</v>
      </c>
      <c r="E187" s="24" t="s">
        <v>20</v>
      </c>
      <c r="F187" s="23" t="s">
        <v>30</v>
      </c>
      <c r="G187" s="20">
        <v>1399090</v>
      </c>
      <c r="H187" s="20">
        <f t="shared" si="11"/>
        <v>1818817</v>
      </c>
      <c r="I187" s="21">
        <f t="shared" si="12"/>
        <v>381951.57</v>
      </c>
      <c r="J187" s="56">
        <f t="shared" si="20"/>
        <v>2200768.5699999998</v>
      </c>
    </row>
    <row r="188" spans="2:10" ht="15" customHeight="1">
      <c r="B188" s="16">
        <v>1000000182</v>
      </c>
      <c r="C188" s="27" t="s">
        <v>107</v>
      </c>
      <c r="D188" s="23">
        <v>20</v>
      </c>
      <c r="E188" s="24" t="s">
        <v>26</v>
      </c>
      <c r="F188" s="23" t="s">
        <v>30</v>
      </c>
      <c r="G188" s="20">
        <v>116089</v>
      </c>
      <c r="H188" s="20">
        <f t="shared" si="11"/>
        <v>150915.70000000001</v>
      </c>
      <c r="I188" s="21">
        <f t="shared" si="12"/>
        <v>31692.297000000002</v>
      </c>
      <c r="J188" s="56">
        <f t="shared" si="20"/>
        <v>182607.997</v>
      </c>
    </row>
    <row r="189" spans="2:10" ht="15" customHeight="1">
      <c r="B189" s="16">
        <v>1000000184</v>
      </c>
      <c r="C189" s="27" t="s">
        <v>108</v>
      </c>
      <c r="D189" s="23">
        <v>20</v>
      </c>
      <c r="E189" s="24" t="s">
        <v>26</v>
      </c>
      <c r="F189" s="23" t="s">
        <v>30</v>
      </c>
      <c r="G189" s="20">
        <v>109523</v>
      </c>
      <c r="H189" s="20">
        <f t="shared" si="11"/>
        <v>142379.9</v>
      </c>
      <c r="I189" s="21">
        <f t="shared" si="12"/>
        <v>29899.778999999999</v>
      </c>
      <c r="J189" s="56">
        <f t="shared" si="20"/>
        <v>172279.679</v>
      </c>
    </row>
    <row r="190" spans="2:10" ht="15" customHeight="1">
      <c r="B190" s="16">
        <v>1000000185</v>
      </c>
      <c r="C190" s="27" t="s">
        <v>109</v>
      </c>
      <c r="D190" s="23">
        <v>205</v>
      </c>
      <c r="E190" s="24" t="s">
        <v>20</v>
      </c>
      <c r="F190" s="23" t="s">
        <v>30</v>
      </c>
      <c r="G190" s="20">
        <v>1115647</v>
      </c>
      <c r="H190" s="20">
        <f t="shared" si="11"/>
        <v>1450341.1</v>
      </c>
      <c r="I190" s="21">
        <f t="shared" si="12"/>
        <v>304571.63099999999</v>
      </c>
      <c r="J190" s="56">
        <f t="shared" si="20"/>
        <v>1754912.7310000001</v>
      </c>
    </row>
    <row r="191" spans="2:10" ht="15" customHeight="1">
      <c r="B191" s="16">
        <v>1000000177</v>
      </c>
      <c r="C191" s="27" t="s">
        <v>110</v>
      </c>
      <c r="D191" s="23">
        <v>205</v>
      </c>
      <c r="E191" s="24" t="s">
        <v>20</v>
      </c>
      <c r="F191" s="23" t="s">
        <v>30</v>
      </c>
      <c r="G191" s="20">
        <v>1040425</v>
      </c>
      <c r="H191" s="20">
        <f t="shared" si="11"/>
        <v>1352552.5</v>
      </c>
      <c r="I191" s="21">
        <f t="shared" si="12"/>
        <v>284036.02499999997</v>
      </c>
      <c r="J191" s="56">
        <f t="shared" si="20"/>
        <v>1636588.5249999999</v>
      </c>
    </row>
    <row r="192" spans="2:10" ht="15" customHeight="1">
      <c r="B192" s="16">
        <v>1000000176</v>
      </c>
      <c r="C192" s="27" t="s">
        <v>110</v>
      </c>
      <c r="D192" s="23">
        <v>20</v>
      </c>
      <c r="E192" s="24" t="s">
        <v>26</v>
      </c>
      <c r="F192" s="23" t="s">
        <v>30</v>
      </c>
      <c r="G192" s="20">
        <v>105982</v>
      </c>
      <c r="H192" s="20">
        <f t="shared" si="11"/>
        <v>137776.6</v>
      </c>
      <c r="I192" s="21">
        <f t="shared" si="12"/>
        <v>28933.085999999999</v>
      </c>
      <c r="J192" s="56">
        <f t="shared" si="20"/>
        <v>166709.68600000002</v>
      </c>
    </row>
    <row r="193" spans="2:10" ht="15" customHeight="1">
      <c r="B193" s="16">
        <v>1000000180</v>
      </c>
      <c r="C193" s="41" t="s">
        <v>111</v>
      </c>
      <c r="D193" s="32">
        <v>205</v>
      </c>
      <c r="E193" s="24" t="s">
        <v>20</v>
      </c>
      <c r="F193" s="23" t="s">
        <v>30</v>
      </c>
      <c r="G193" s="20">
        <v>1169904</v>
      </c>
      <c r="H193" s="20">
        <f t="shared" si="11"/>
        <v>1520875.2</v>
      </c>
      <c r="I193" s="21">
        <f t="shared" si="12"/>
        <v>319383.79199999996</v>
      </c>
      <c r="J193" s="56">
        <f t="shared" si="20"/>
        <v>1840258.9919999999</v>
      </c>
    </row>
    <row r="194" spans="2:10" ht="15" customHeight="1">
      <c r="B194" s="16">
        <v>1000000179</v>
      </c>
      <c r="C194" s="41" t="s">
        <v>111</v>
      </c>
      <c r="D194" s="32">
        <v>20</v>
      </c>
      <c r="E194" s="24" t="s">
        <v>26</v>
      </c>
      <c r="F194" s="23" t="s">
        <v>30</v>
      </c>
      <c r="G194" s="20">
        <v>118614</v>
      </c>
      <c r="H194" s="20">
        <f t="shared" si="11"/>
        <v>154198.20000000001</v>
      </c>
      <c r="I194" s="21">
        <f t="shared" si="12"/>
        <v>32381.622000000003</v>
      </c>
      <c r="J194" s="56">
        <f t="shared" si="20"/>
        <v>186579.82200000001</v>
      </c>
    </row>
    <row r="195" spans="2:10" ht="15" customHeight="1">
      <c r="B195" s="57" t="s">
        <v>112</v>
      </c>
      <c r="C195" s="58"/>
      <c r="D195" s="58"/>
      <c r="E195" s="58"/>
      <c r="F195" s="58"/>
      <c r="G195" s="58"/>
      <c r="H195" s="58"/>
      <c r="I195" s="58"/>
      <c r="J195" s="58"/>
    </row>
    <row r="196" spans="2:10" ht="15" customHeight="1">
      <c r="B196" s="16">
        <v>6000000100</v>
      </c>
      <c r="C196" s="27" t="s">
        <v>113</v>
      </c>
      <c r="D196" s="23" t="s">
        <v>114</v>
      </c>
      <c r="E196" s="42" t="s">
        <v>115</v>
      </c>
      <c r="F196" s="43" t="s">
        <v>114</v>
      </c>
      <c r="G196" s="20">
        <v>62980</v>
      </c>
      <c r="H196" s="20">
        <f t="shared" si="11"/>
        <v>81874</v>
      </c>
      <c r="I196" s="21">
        <f t="shared" si="12"/>
        <v>17193.54</v>
      </c>
      <c r="J196" s="56">
        <f t="shared" ref="J196" si="21">I196+H196</f>
        <v>99067.540000000008</v>
      </c>
    </row>
    <row r="197" spans="2:10" ht="15" customHeight="1">
      <c r="B197" s="16">
        <v>6000000102</v>
      </c>
      <c r="C197" s="22" t="s">
        <v>116</v>
      </c>
      <c r="D197" s="33" t="s">
        <v>114</v>
      </c>
      <c r="E197" s="44" t="s">
        <v>117</v>
      </c>
      <c r="F197" s="45" t="s">
        <v>114</v>
      </c>
      <c r="G197" s="20">
        <v>65356</v>
      </c>
      <c r="H197" s="20">
        <f t="shared" si="11"/>
        <v>84962.8</v>
      </c>
      <c r="I197" s="21">
        <f t="shared" si="12"/>
        <v>17842.187999999998</v>
      </c>
      <c r="J197" s="56">
        <f t="shared" ref="J197:J204" si="22">I197+H197</f>
        <v>102804.988</v>
      </c>
    </row>
    <row r="198" spans="2:10" ht="15" customHeight="1">
      <c r="B198" s="16">
        <v>6000000098</v>
      </c>
      <c r="C198" s="22" t="s">
        <v>118</v>
      </c>
      <c r="D198" s="33" t="s">
        <v>114</v>
      </c>
      <c r="E198" s="46" t="s">
        <v>115</v>
      </c>
      <c r="F198" s="45" t="s">
        <v>114</v>
      </c>
      <c r="G198" s="20">
        <v>67646</v>
      </c>
      <c r="H198" s="20">
        <f t="shared" si="11"/>
        <v>87939.8</v>
      </c>
      <c r="I198" s="21">
        <f t="shared" si="12"/>
        <v>18467.358</v>
      </c>
      <c r="J198" s="56">
        <f t="shared" si="22"/>
        <v>106407.158</v>
      </c>
    </row>
    <row r="199" spans="2:10" ht="15" customHeight="1">
      <c r="B199" s="16">
        <v>6000000038</v>
      </c>
      <c r="C199" s="27" t="s">
        <v>119</v>
      </c>
      <c r="D199" s="23" t="s">
        <v>114</v>
      </c>
      <c r="E199" s="42" t="s">
        <v>120</v>
      </c>
      <c r="F199" s="43" t="s">
        <v>114</v>
      </c>
      <c r="G199" s="20">
        <v>24536</v>
      </c>
      <c r="H199" s="20">
        <f t="shared" si="11"/>
        <v>31896.799999999999</v>
      </c>
      <c r="I199" s="21">
        <f t="shared" si="12"/>
        <v>6698.3279999999995</v>
      </c>
      <c r="J199" s="56">
        <f t="shared" si="22"/>
        <v>38595.127999999997</v>
      </c>
    </row>
    <row r="200" spans="2:10" ht="15" customHeight="1">
      <c r="B200" s="16">
        <v>6000000106</v>
      </c>
      <c r="C200" s="22" t="s">
        <v>121</v>
      </c>
      <c r="D200" s="33" t="s">
        <v>114</v>
      </c>
      <c r="E200" s="44" t="s">
        <v>122</v>
      </c>
      <c r="F200" s="45" t="s">
        <v>114</v>
      </c>
      <c r="G200" s="20">
        <v>25352</v>
      </c>
      <c r="H200" s="20">
        <f t="shared" si="11"/>
        <v>32957.599999999999</v>
      </c>
      <c r="I200" s="21">
        <f t="shared" si="12"/>
        <v>6921.0959999999995</v>
      </c>
      <c r="J200" s="56">
        <f t="shared" si="22"/>
        <v>39878.695999999996</v>
      </c>
    </row>
    <row r="201" spans="2:10" ht="15" customHeight="1">
      <c r="B201" s="16">
        <v>6000000103</v>
      </c>
      <c r="C201" s="27" t="s">
        <v>123</v>
      </c>
      <c r="D201" s="23" t="s">
        <v>114</v>
      </c>
      <c r="E201" s="42" t="s">
        <v>124</v>
      </c>
      <c r="F201" s="43" t="s">
        <v>114</v>
      </c>
      <c r="G201" s="20">
        <v>61823</v>
      </c>
      <c r="H201" s="20">
        <f t="shared" si="11"/>
        <v>80369.899999999994</v>
      </c>
      <c r="I201" s="21">
        <f t="shared" si="12"/>
        <v>16877.678999999996</v>
      </c>
      <c r="J201" s="56">
        <f t="shared" si="22"/>
        <v>97247.578999999998</v>
      </c>
    </row>
    <row r="202" spans="2:10" ht="15" customHeight="1">
      <c r="B202" s="16">
        <v>6000000104</v>
      </c>
      <c r="C202" s="22" t="s">
        <v>125</v>
      </c>
      <c r="D202" s="33" t="s">
        <v>114</v>
      </c>
      <c r="E202" s="44" t="s">
        <v>124</v>
      </c>
      <c r="F202" s="45" t="s">
        <v>114</v>
      </c>
      <c r="G202" s="20">
        <v>50553</v>
      </c>
      <c r="H202" s="20">
        <f t="shared" ref="H202:H221" si="23">+G202*30%+G202</f>
        <v>65718.899999999994</v>
      </c>
      <c r="I202" s="21">
        <f t="shared" ref="I202:I221" si="24">H202*0.21</f>
        <v>13800.968999999999</v>
      </c>
      <c r="J202" s="56">
        <f t="shared" si="22"/>
        <v>79519.868999999992</v>
      </c>
    </row>
    <row r="203" spans="2:10" ht="15" customHeight="1">
      <c r="B203" s="16">
        <v>6000000107</v>
      </c>
      <c r="C203" s="27" t="s">
        <v>126</v>
      </c>
      <c r="D203" s="23" t="s">
        <v>114</v>
      </c>
      <c r="E203" s="42" t="s">
        <v>124</v>
      </c>
      <c r="F203" s="43" t="s">
        <v>114</v>
      </c>
      <c r="G203" s="20">
        <v>56426</v>
      </c>
      <c r="H203" s="20">
        <f t="shared" si="23"/>
        <v>73353.8</v>
      </c>
      <c r="I203" s="21">
        <f t="shared" si="24"/>
        <v>15404.298000000001</v>
      </c>
      <c r="J203" s="56">
        <f t="shared" si="22"/>
        <v>88758.097999999998</v>
      </c>
    </row>
    <row r="204" spans="2:10" ht="15" customHeight="1">
      <c r="B204" s="16">
        <v>6000000105</v>
      </c>
      <c r="C204" s="27" t="s">
        <v>127</v>
      </c>
      <c r="D204" s="23" t="s">
        <v>114</v>
      </c>
      <c r="E204" s="42" t="s">
        <v>128</v>
      </c>
      <c r="F204" s="43" t="s">
        <v>114</v>
      </c>
      <c r="G204" s="20">
        <v>40454</v>
      </c>
      <c r="H204" s="20">
        <f t="shared" si="23"/>
        <v>52590.2</v>
      </c>
      <c r="I204" s="21">
        <f t="shared" si="24"/>
        <v>11043.941999999999</v>
      </c>
      <c r="J204" s="56">
        <f t="shared" si="22"/>
        <v>63634.141999999993</v>
      </c>
    </row>
    <row r="205" spans="2:10" ht="15" customHeight="1">
      <c r="B205" s="59" t="s">
        <v>129</v>
      </c>
      <c r="C205" s="60"/>
      <c r="D205" s="60"/>
      <c r="E205" s="60"/>
      <c r="F205" s="60"/>
      <c r="G205" s="60"/>
      <c r="H205" s="60"/>
      <c r="I205" s="60"/>
      <c r="J205" s="60"/>
    </row>
    <row r="206" spans="2:10" ht="15" customHeight="1">
      <c r="B206" s="16">
        <v>1000000124</v>
      </c>
      <c r="C206" s="27" t="s">
        <v>130</v>
      </c>
      <c r="D206" s="23">
        <v>18</v>
      </c>
      <c r="E206" s="42" t="s">
        <v>131</v>
      </c>
      <c r="F206" s="43" t="s">
        <v>114</v>
      </c>
      <c r="G206" s="20">
        <v>238559</v>
      </c>
      <c r="H206" s="20">
        <f t="shared" si="23"/>
        <v>310126.7</v>
      </c>
      <c r="I206" s="21">
        <f t="shared" si="24"/>
        <v>65126.607000000004</v>
      </c>
      <c r="J206" s="56">
        <f t="shared" ref="J206" si="25">I206+H206</f>
        <v>375253.30700000003</v>
      </c>
    </row>
    <row r="207" spans="2:10" ht="15" customHeight="1">
      <c r="B207" s="16">
        <v>1000000125</v>
      </c>
      <c r="C207" s="27" t="s">
        <v>132</v>
      </c>
      <c r="D207" s="33">
        <v>180</v>
      </c>
      <c r="E207" s="44" t="s">
        <v>133</v>
      </c>
      <c r="F207" s="43" t="s">
        <v>114</v>
      </c>
      <c r="G207" s="20">
        <v>2283055</v>
      </c>
      <c r="H207" s="20">
        <f t="shared" si="23"/>
        <v>2967971.5</v>
      </c>
      <c r="I207" s="21">
        <f t="shared" si="24"/>
        <v>623274.01500000001</v>
      </c>
      <c r="J207" s="56">
        <f t="shared" ref="J207:J211" si="26">I207+H207</f>
        <v>3591245.5150000001</v>
      </c>
    </row>
    <row r="208" spans="2:10" ht="15" customHeight="1">
      <c r="B208" s="16">
        <v>1000000061</v>
      </c>
      <c r="C208" s="27" t="s">
        <v>134</v>
      </c>
      <c r="D208" s="23">
        <v>18</v>
      </c>
      <c r="E208" s="42" t="s">
        <v>131</v>
      </c>
      <c r="F208" s="43" t="s">
        <v>114</v>
      </c>
      <c r="G208" s="20">
        <v>177257</v>
      </c>
      <c r="H208" s="20">
        <f t="shared" si="23"/>
        <v>230434.1</v>
      </c>
      <c r="I208" s="21">
        <f t="shared" si="24"/>
        <v>48391.161</v>
      </c>
      <c r="J208" s="56">
        <f t="shared" si="26"/>
        <v>278825.261</v>
      </c>
    </row>
    <row r="209" spans="2:10" ht="15" customHeight="1">
      <c r="B209" s="16">
        <v>1000000062</v>
      </c>
      <c r="C209" s="27" t="s">
        <v>134</v>
      </c>
      <c r="D209" s="33">
        <v>180</v>
      </c>
      <c r="E209" s="44" t="s">
        <v>133</v>
      </c>
      <c r="F209" s="43" t="s">
        <v>114</v>
      </c>
      <c r="G209" s="20">
        <v>1691995</v>
      </c>
      <c r="H209" s="20">
        <f t="shared" si="23"/>
        <v>2199593.5</v>
      </c>
      <c r="I209" s="21">
        <f t="shared" si="24"/>
        <v>461914.63500000001</v>
      </c>
      <c r="J209" s="56">
        <f t="shared" si="26"/>
        <v>2661508.1349999998</v>
      </c>
    </row>
    <row r="210" spans="2:10" ht="15" customHeight="1">
      <c r="B210" s="16">
        <v>1000000064</v>
      </c>
      <c r="C210" s="27" t="s">
        <v>135</v>
      </c>
      <c r="D210" s="23">
        <v>18</v>
      </c>
      <c r="E210" s="42" t="s">
        <v>131</v>
      </c>
      <c r="F210" s="43" t="s">
        <v>114</v>
      </c>
      <c r="G210" s="20">
        <v>173367</v>
      </c>
      <c r="H210" s="20">
        <f t="shared" si="23"/>
        <v>225377.1</v>
      </c>
      <c r="I210" s="21">
        <f t="shared" si="24"/>
        <v>47329.190999999999</v>
      </c>
      <c r="J210" s="56">
        <f t="shared" si="26"/>
        <v>272706.29100000003</v>
      </c>
    </row>
    <row r="211" spans="2:10" ht="15" customHeight="1">
      <c r="B211" s="16">
        <v>1000000065</v>
      </c>
      <c r="C211" s="27" t="s">
        <v>135</v>
      </c>
      <c r="D211" s="23">
        <v>180</v>
      </c>
      <c r="E211" s="44" t="s">
        <v>133</v>
      </c>
      <c r="F211" s="43" t="s">
        <v>114</v>
      </c>
      <c r="G211" s="20">
        <v>1654475</v>
      </c>
      <c r="H211" s="20">
        <f t="shared" si="23"/>
        <v>2150817.5</v>
      </c>
      <c r="I211" s="21">
        <f t="shared" si="24"/>
        <v>451671.67499999999</v>
      </c>
      <c r="J211" s="56">
        <f t="shared" si="26"/>
        <v>2602489.1749999998</v>
      </c>
    </row>
    <row r="212" spans="2:10" ht="15" customHeight="1">
      <c r="B212" s="59" t="s">
        <v>136</v>
      </c>
      <c r="C212" s="60"/>
      <c r="D212" s="60"/>
      <c r="E212" s="60"/>
      <c r="F212" s="60"/>
      <c r="G212" s="60"/>
      <c r="H212" s="60"/>
      <c r="I212" s="60"/>
      <c r="J212" s="60"/>
    </row>
    <row r="213" spans="2:10" ht="15" customHeight="1">
      <c r="B213" s="16">
        <v>1000000117</v>
      </c>
      <c r="C213" s="27" t="s">
        <v>137</v>
      </c>
      <c r="D213" s="23">
        <v>18</v>
      </c>
      <c r="E213" s="42" t="s">
        <v>131</v>
      </c>
      <c r="F213" s="43" t="s">
        <v>114</v>
      </c>
      <c r="G213" s="20">
        <v>143166</v>
      </c>
      <c r="H213" s="20">
        <f t="shared" si="23"/>
        <v>186115.8</v>
      </c>
      <c r="I213" s="21">
        <f t="shared" si="24"/>
        <v>39084.317999999999</v>
      </c>
      <c r="J213" s="56">
        <f t="shared" ref="J213" si="27">I213+H213</f>
        <v>225200.11799999999</v>
      </c>
    </row>
    <row r="214" spans="2:10" ht="15" customHeight="1">
      <c r="B214" s="16">
        <v>1000000118</v>
      </c>
      <c r="C214" s="27" t="s">
        <v>137</v>
      </c>
      <c r="D214" s="33">
        <v>12</v>
      </c>
      <c r="E214" s="44" t="s">
        <v>138</v>
      </c>
      <c r="F214" s="43" t="s">
        <v>114</v>
      </c>
      <c r="G214" s="20">
        <v>90491</v>
      </c>
      <c r="H214" s="20">
        <f t="shared" si="23"/>
        <v>117638.3</v>
      </c>
      <c r="I214" s="21">
        <f t="shared" si="24"/>
        <v>24704.043000000001</v>
      </c>
      <c r="J214" s="56">
        <f t="shared" ref="J214:J221" si="28">I214+H214</f>
        <v>142342.34299999999</v>
      </c>
    </row>
    <row r="215" spans="2:10" ht="15" customHeight="1">
      <c r="B215" s="16">
        <v>1000000119</v>
      </c>
      <c r="C215" s="27" t="s">
        <v>137</v>
      </c>
      <c r="D215" s="23">
        <v>180</v>
      </c>
      <c r="E215" s="44" t="s">
        <v>133</v>
      </c>
      <c r="F215" s="43" t="s">
        <v>114</v>
      </c>
      <c r="G215" s="20">
        <v>1360111</v>
      </c>
      <c r="H215" s="20">
        <f t="shared" si="23"/>
        <v>1768144.3</v>
      </c>
      <c r="I215" s="21">
        <f t="shared" si="24"/>
        <v>371310.30300000001</v>
      </c>
      <c r="J215" s="56">
        <f t="shared" si="28"/>
        <v>2139454.6030000001</v>
      </c>
    </row>
    <row r="216" spans="2:10" ht="15" customHeight="1">
      <c r="B216" s="16">
        <v>1000000121</v>
      </c>
      <c r="C216" s="27" t="s">
        <v>139</v>
      </c>
      <c r="D216" s="33">
        <v>18</v>
      </c>
      <c r="E216" s="42" t="s">
        <v>131</v>
      </c>
      <c r="F216" s="43" t="s">
        <v>114</v>
      </c>
      <c r="G216" s="20">
        <v>137380</v>
      </c>
      <c r="H216" s="20">
        <f t="shared" si="23"/>
        <v>178594</v>
      </c>
      <c r="I216" s="21">
        <f t="shared" si="24"/>
        <v>37504.74</v>
      </c>
      <c r="J216" s="56">
        <f t="shared" si="28"/>
        <v>216098.74</v>
      </c>
    </row>
    <row r="217" spans="2:10" ht="15" customHeight="1">
      <c r="B217" s="16">
        <v>1000000122</v>
      </c>
      <c r="C217" s="27" t="s">
        <v>139</v>
      </c>
      <c r="D217" s="23">
        <v>180</v>
      </c>
      <c r="E217" s="44" t="s">
        <v>133</v>
      </c>
      <c r="F217" s="43" t="s">
        <v>114</v>
      </c>
      <c r="G217" s="20">
        <v>1304319</v>
      </c>
      <c r="H217" s="20">
        <f t="shared" si="23"/>
        <v>1695614.7</v>
      </c>
      <c r="I217" s="21">
        <f t="shared" si="24"/>
        <v>356079.087</v>
      </c>
      <c r="J217" s="56">
        <f t="shared" si="28"/>
        <v>2051693.787</v>
      </c>
    </row>
    <row r="218" spans="2:10" ht="15" customHeight="1">
      <c r="B218" s="16">
        <v>6000000133</v>
      </c>
      <c r="C218" s="22" t="s">
        <v>140</v>
      </c>
      <c r="D218" s="33">
        <v>18</v>
      </c>
      <c r="E218" s="42" t="s">
        <v>131</v>
      </c>
      <c r="F218" s="43" t="s">
        <v>114</v>
      </c>
      <c r="G218" s="20">
        <v>120317</v>
      </c>
      <c r="H218" s="20">
        <f t="shared" si="23"/>
        <v>156412.1</v>
      </c>
      <c r="I218" s="21">
        <f t="shared" si="24"/>
        <v>32846.540999999997</v>
      </c>
      <c r="J218" s="56">
        <f t="shared" si="28"/>
        <v>189258.641</v>
      </c>
    </row>
    <row r="219" spans="2:10" ht="15" customHeight="1">
      <c r="B219" s="16">
        <v>6000000134</v>
      </c>
      <c r="C219" s="22" t="s">
        <v>140</v>
      </c>
      <c r="D219" s="23">
        <f>12*0.9</f>
        <v>10.8</v>
      </c>
      <c r="E219" s="42" t="s">
        <v>141</v>
      </c>
      <c r="F219" s="43" t="s">
        <v>114</v>
      </c>
      <c r="G219" s="20">
        <v>73421</v>
      </c>
      <c r="H219" s="20">
        <f t="shared" si="23"/>
        <v>95447.3</v>
      </c>
      <c r="I219" s="21">
        <f t="shared" si="24"/>
        <v>20043.933000000001</v>
      </c>
      <c r="J219" s="56">
        <f t="shared" si="28"/>
        <v>115491.23300000001</v>
      </c>
    </row>
    <row r="220" spans="2:10" ht="15" customHeight="1">
      <c r="B220" s="16">
        <v>1000000057</v>
      </c>
      <c r="C220" s="22" t="s">
        <v>140</v>
      </c>
      <c r="D220" s="33">
        <v>12</v>
      </c>
      <c r="E220" s="44" t="s">
        <v>138</v>
      </c>
      <c r="F220" s="43" t="s">
        <v>114</v>
      </c>
      <c r="G220" s="20">
        <v>88043</v>
      </c>
      <c r="H220" s="20">
        <f t="shared" si="23"/>
        <v>114455.9</v>
      </c>
      <c r="I220" s="21">
        <f t="shared" si="24"/>
        <v>24035.738999999998</v>
      </c>
      <c r="J220" s="56">
        <f t="shared" si="28"/>
        <v>138491.639</v>
      </c>
    </row>
    <row r="221" spans="2:10" ht="15" customHeight="1" thickBot="1">
      <c r="B221" s="47">
        <v>6000000135</v>
      </c>
      <c r="C221" s="48" t="s">
        <v>140</v>
      </c>
      <c r="D221" s="49">
        <v>180</v>
      </c>
      <c r="E221" s="50" t="s">
        <v>133</v>
      </c>
      <c r="F221" s="51" t="s">
        <v>114</v>
      </c>
      <c r="G221" s="20">
        <v>1144971</v>
      </c>
      <c r="H221" s="20">
        <f t="shared" si="23"/>
        <v>1488462.3</v>
      </c>
      <c r="I221" s="21">
        <f t="shared" si="24"/>
        <v>312577.08299999998</v>
      </c>
      <c r="J221" s="56">
        <f t="shared" si="28"/>
        <v>1801039.3829999999</v>
      </c>
    </row>
    <row r="222" spans="2:10" ht="15.75">
      <c r="B222" s="52"/>
      <c r="C222" s="52"/>
      <c r="D222" s="52"/>
      <c r="E222" s="53"/>
      <c r="F222" s="52"/>
      <c r="G222" s="54"/>
      <c r="H222" s="54"/>
      <c r="I222" s="55"/>
      <c r="J222" s="55"/>
    </row>
    <row r="223" spans="2:10" ht="15.75">
      <c r="B223" s="52"/>
      <c r="C223" s="52"/>
      <c r="D223" s="52"/>
      <c r="E223" s="53"/>
      <c r="F223" s="52"/>
      <c r="G223" s="54"/>
      <c r="H223" s="54"/>
      <c r="I223" s="55"/>
      <c r="J223" s="55"/>
    </row>
    <row r="224" spans="2:10" ht="15.75">
      <c r="B224" s="52"/>
      <c r="C224" s="52"/>
      <c r="D224" s="52"/>
      <c r="E224" s="53"/>
      <c r="F224" s="52"/>
      <c r="G224" s="54"/>
      <c r="H224" s="54"/>
      <c r="I224" s="55"/>
      <c r="J224" s="55"/>
    </row>
    <row r="225" spans="2:10" ht="15.75">
      <c r="B225" s="52"/>
      <c r="C225" s="52"/>
      <c r="D225" s="52"/>
      <c r="E225" s="53"/>
      <c r="F225" s="52"/>
      <c r="G225" s="54"/>
      <c r="H225" s="54"/>
      <c r="I225" s="55"/>
      <c r="J225" s="55"/>
    </row>
    <row r="226" spans="2:10" ht="15.75">
      <c r="B226" s="52"/>
      <c r="C226" s="52"/>
      <c r="D226" s="52"/>
      <c r="E226" s="53"/>
      <c r="F226" s="52"/>
      <c r="G226" s="54"/>
      <c r="H226" s="54"/>
      <c r="I226" s="55"/>
      <c r="J226" s="55"/>
    </row>
    <row r="227" spans="2:10" ht="15.75">
      <c r="B227" s="52"/>
      <c r="C227" s="52"/>
      <c r="D227" s="52"/>
      <c r="E227" s="53"/>
      <c r="F227" s="52"/>
      <c r="G227" s="54"/>
      <c r="H227" s="54"/>
      <c r="I227" s="55"/>
      <c r="J227" s="55"/>
    </row>
    <row r="228" spans="2:10" ht="15.75">
      <c r="B228" s="52"/>
      <c r="C228" s="52"/>
      <c r="D228" s="52"/>
      <c r="E228" s="53"/>
      <c r="F228" s="52"/>
      <c r="G228" s="54"/>
      <c r="H228" s="54"/>
      <c r="I228" s="55"/>
      <c r="J228" s="55"/>
    </row>
    <row r="229" spans="2:10" ht="15.75">
      <c r="B229" s="52"/>
      <c r="C229" s="52"/>
      <c r="D229" s="52"/>
      <c r="E229" s="53"/>
      <c r="F229" s="52"/>
      <c r="G229" s="54"/>
      <c r="H229" s="54"/>
      <c r="I229" s="55"/>
      <c r="J229" s="55"/>
    </row>
    <row r="230" spans="2:10" ht="15.75">
      <c r="B230" s="52"/>
      <c r="C230" s="52"/>
      <c r="D230" s="52"/>
      <c r="E230" s="53"/>
      <c r="F230" s="52"/>
      <c r="G230" s="54"/>
      <c r="H230" s="54"/>
      <c r="I230" s="55"/>
      <c r="J230" s="55"/>
    </row>
    <row r="231" spans="2:10" ht="15.75">
      <c r="B231" s="52"/>
      <c r="C231" s="52"/>
      <c r="D231" s="52"/>
      <c r="E231" s="53"/>
      <c r="F231" s="52"/>
      <c r="G231" s="54"/>
      <c r="H231" s="54"/>
      <c r="I231" s="55"/>
      <c r="J231" s="55"/>
    </row>
    <row r="232" spans="2:10" ht="15.75">
      <c r="B232" s="52"/>
      <c r="C232" s="52"/>
      <c r="D232" s="52"/>
      <c r="E232" s="53"/>
      <c r="F232" s="52"/>
      <c r="G232" s="54"/>
      <c r="H232" s="54"/>
      <c r="I232" s="55"/>
      <c r="J232" s="55"/>
    </row>
  </sheetData>
  <autoFilter ref="B7:J221" xr:uid="{D9AD51A1-1322-4E33-83FD-F4F0F6791694}"/>
  <mergeCells count="11">
    <mergeCell ref="B157:J157"/>
    <mergeCell ref="B8:J8"/>
    <mergeCell ref="B62:J62"/>
    <mergeCell ref="B85:J85"/>
    <mergeCell ref="B102:J102"/>
    <mergeCell ref="B141:J141"/>
    <mergeCell ref="B171:J171"/>
    <mergeCell ref="B184:J184"/>
    <mergeCell ref="B195:J195"/>
    <mergeCell ref="B205:J205"/>
    <mergeCell ref="B212:J212"/>
  </mergeCells>
  <pageMargins left="0" right="0" top="0.74803149606299213" bottom="0.74803149606299213" header="0.31496062992125984" footer="0.31496062992125984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 22.05.26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Melina Valdes</dc:creator>
  <cp:lastModifiedBy>GABRIELITO</cp:lastModifiedBy>
  <cp:lastPrinted>2026-05-19T14:17:13Z</cp:lastPrinted>
  <dcterms:created xsi:type="dcterms:W3CDTF">2026-05-15T12:06:02Z</dcterms:created>
  <dcterms:modified xsi:type="dcterms:W3CDTF">2026-05-20T12:30:26Z</dcterms:modified>
</cp:coreProperties>
</file>